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etpatel/Documents/analytics_project/ny-hospital-cost-quality/excel/"/>
    </mc:Choice>
  </mc:AlternateContent>
  <xr:revisionPtr revIDLastSave="0" documentId="8_{D2ACF41B-E85C-174A-B7BB-4032853E8D06}" xr6:coauthVersionLast="47" xr6:coauthVersionMax="47" xr10:uidLastSave="{00000000-0000-0000-0000-000000000000}"/>
  <bookViews>
    <workbookView xWindow="0" yWindow="660" windowWidth="29400" windowHeight="18460" activeTab="1" xr2:uid="{D8D4FF11-7917-F042-A7CF-49C20FFF0644}"/>
  </bookViews>
  <sheets>
    <sheet name="Data" sheetId="2" r:id="rId1"/>
    <sheet name="Summary" sheetId="4" r:id="rId2"/>
    <sheet name="Analysis" sheetId="3" r:id="rId3"/>
  </sheets>
  <definedNames>
    <definedName name="ExternalData_1" localSheetId="0" hidden="1">Data!$A$1:$M$126</definedName>
  </definedNames>
  <calcPr calcId="181029"/>
  <pivotCaches>
    <pivotCache cacheId="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59BF39A-BF8A-C14B-B9E9-0277B9CF1D7C}" keepAlive="1" name="Query - hospital_cost_quality" description="Connection to the 'hospital_cost_quality' query in the workbook." type="5" refreshedVersion="8" background="1" saveData="1">
    <dbPr connection="Provider=Microsoft.Mashup.OleDb.1;Data Source=$Workbook$;Location=hospital_cost_quality;Extended Properties=&quot;&quot;" command="SELECT * FROM [hospital_cost_quality]"/>
  </connection>
</connections>
</file>

<file path=xl/sharedStrings.xml><?xml version="1.0" encoding="utf-8"?>
<sst xmlns="http://schemas.openxmlformats.org/spreadsheetml/2006/main" count="535" uniqueCount="250">
  <si>
    <t>ccn</t>
  </si>
  <si>
    <t>hospital_name</t>
  </si>
  <si>
    <t>city</t>
  </si>
  <si>
    <t>region</t>
  </si>
  <si>
    <t>total_discharges</t>
  </si>
  <si>
    <t>avg_payment_per_discharge</t>
  </si>
  <si>
    <t>readmission_ratio</t>
  </si>
  <si>
    <t>patient_satisfaction_star</t>
  </si>
  <si>
    <t>patient_safety_psi90</t>
  </si>
  <si>
    <t>mortality_30_pneumonia</t>
  </si>
  <si>
    <t>has_core_readmissions</t>
  </si>
  <si>
    <t>is_analytic</t>
  </si>
  <si>
    <t>value_flag</t>
  </si>
  <si>
    <t>Kings County Hospital Center</t>
  </si>
  <si>
    <t>Brooklyn</t>
  </si>
  <si>
    <t>NYC</t>
  </si>
  <si>
    <t>Good outcomes</t>
  </si>
  <si>
    <t>Bellevue Hospital Center</t>
  </si>
  <si>
    <t>New York</t>
  </si>
  <si>
    <t>Poor outcomes</t>
  </si>
  <si>
    <t>Queens Hospital Center</t>
  </si>
  <si>
    <t>Jamaica</t>
  </si>
  <si>
    <t>Metropolitan Hospital Center</t>
  </si>
  <si>
    <t>Excluded (low volume)</t>
  </si>
  <si>
    <t>Woodhull Medical &amp; Mental Health Center</t>
  </si>
  <si>
    <t>Mount Sinai Hospital</t>
  </si>
  <si>
    <t>Harlem Hospital Center</t>
  </si>
  <si>
    <t>New York-Presbyterian Hospital</t>
  </si>
  <si>
    <t>Suny Health Science Center At Brooklyn University</t>
  </si>
  <si>
    <t>St Barnabas Hospital</t>
  </si>
  <si>
    <t>Bronx</t>
  </si>
  <si>
    <t>Hospital For Special Surgery</t>
  </si>
  <si>
    <t>Strong Memorial Hospital</t>
  </si>
  <si>
    <t>Rochester</t>
  </si>
  <si>
    <t>Upstate</t>
  </si>
  <si>
    <t>Elmhurst Hospital Center</t>
  </si>
  <si>
    <t>Elmhurst</t>
  </si>
  <si>
    <t>Lincoln Medical &amp; Mental Health Center</t>
  </si>
  <si>
    <t>Jacobi Medical Center</t>
  </si>
  <si>
    <t>Montefiore Medical Center</t>
  </si>
  <si>
    <t>Nyu Langone Hospitals</t>
  </si>
  <si>
    <t>Bronxcare Hospital Center</t>
  </si>
  <si>
    <t>Maimonides Medical Center</t>
  </si>
  <si>
    <t>Lenox Hill Hospital</t>
  </si>
  <si>
    <t>Westchester Medical Center</t>
  </si>
  <si>
    <t>Valhalla</t>
  </si>
  <si>
    <t>Downstate suburbs</t>
  </si>
  <si>
    <t>Brooklyn Hospital Center - Downtown Campus</t>
  </si>
  <si>
    <t>Brookdale Hospital Medical Center</t>
  </si>
  <si>
    <t>South Brooklyn Health</t>
  </si>
  <si>
    <t>Mount Sinai West</t>
  </si>
  <si>
    <t>Flushing Hospital Medical Center</t>
  </si>
  <si>
    <t>Flushing</t>
  </si>
  <si>
    <t>Albany Medical Center Hospital</t>
  </si>
  <si>
    <t>Albany</t>
  </si>
  <si>
    <t>St John's Episcopal Hospital At South Shore</t>
  </si>
  <si>
    <t>Far Rockaway</t>
  </si>
  <si>
    <t>Jamaica Hospital Medical Center</t>
  </si>
  <si>
    <t>Richmond University Medical Center</t>
  </si>
  <si>
    <t>Staten Island</t>
  </si>
  <si>
    <t>North Shore University Hospital</t>
  </si>
  <si>
    <t>Manhasset</t>
  </si>
  <si>
    <t>Stony Brook University Hospital</t>
  </si>
  <si>
    <t>Stony Brook</t>
  </si>
  <si>
    <t>Kaleida Health</t>
  </si>
  <si>
    <t>Buffalo</t>
  </si>
  <si>
    <t>New York-Presbyterian/Queens</t>
  </si>
  <si>
    <t>St Joseph's Medical Center</t>
  </si>
  <si>
    <t>Yonkers</t>
  </si>
  <si>
    <t>Vassar Brothers Medical Center</t>
  </si>
  <si>
    <t>Poughkeepsie</t>
  </si>
  <si>
    <t>University Hospital S U N Y Health Science Center</t>
  </si>
  <si>
    <t>Syracuse</t>
  </si>
  <si>
    <t>South Shore University  Hospital</t>
  </si>
  <si>
    <t>Bay Shore</t>
  </si>
  <si>
    <t>Rochester General Hospital</t>
  </si>
  <si>
    <t>Staten Island University Hospital</t>
  </si>
  <si>
    <t>St Joseph's Hospital Health Center</t>
  </si>
  <si>
    <t>Long Island Jewish Medical Center</t>
  </si>
  <si>
    <t>New Hyde Park</t>
  </si>
  <si>
    <t>Wyckoff Heights Medical Center</t>
  </si>
  <si>
    <t>Montefiore New Rochelle Hospital</t>
  </si>
  <si>
    <t>New Rochelle</t>
  </si>
  <si>
    <t>Nassau University Medical Center</t>
  </si>
  <si>
    <t>East Meadow</t>
  </si>
  <si>
    <t>Erie County Medical Center</t>
  </si>
  <si>
    <t>Mount Sinai Beth Israel</t>
  </si>
  <si>
    <t>Mary Imogene Bassett Hospital</t>
  </si>
  <si>
    <t>Cooperstown</t>
  </si>
  <si>
    <t>St Francis Hospital, Roslyn</t>
  </si>
  <si>
    <t>Roslyn</t>
  </si>
  <si>
    <t>Mount Sinai South Nassau</t>
  </si>
  <si>
    <t>Oceanside</t>
  </si>
  <si>
    <t>Good Samaritan Hospital Medical Center</t>
  </si>
  <si>
    <t>West Islip</t>
  </si>
  <si>
    <t>United Health Services Hospitals, Inc</t>
  </si>
  <si>
    <t>Binghamton</t>
  </si>
  <si>
    <t>Ellis Hospital</t>
  </si>
  <si>
    <t>Schenectady</t>
  </si>
  <si>
    <t>John T Mather Memorial Hospital  Of Port Jefferson</t>
  </si>
  <si>
    <t>Port Jefferson</t>
  </si>
  <si>
    <t>St Peter's Hospital</t>
  </si>
  <si>
    <t>Adirondack Medical Center - Saranac Lake</t>
  </si>
  <si>
    <t>Saranac Lake</t>
  </si>
  <si>
    <t>White Plains Hospital Center</t>
  </si>
  <si>
    <t>White Plains</t>
  </si>
  <si>
    <t>Chenango Memorial Hospital</t>
  </si>
  <si>
    <t>Norwich</t>
  </si>
  <si>
    <t>Long Island Community Hospital</t>
  </si>
  <si>
    <t>Patchogue</t>
  </si>
  <si>
    <t>Mercy Hospital Of Buffalo</t>
  </si>
  <si>
    <t>Sisters Of Charity Hospital</t>
  </si>
  <si>
    <t>Samaritan Medical Center</t>
  </si>
  <si>
    <t>Watertown</t>
  </si>
  <si>
    <t>Garnet Health Medical Center</t>
  </si>
  <si>
    <t>Middletown</t>
  </si>
  <si>
    <t>Arnot Ogden Medical Center</t>
  </si>
  <si>
    <t>Elmira</t>
  </si>
  <si>
    <t>The University Of Vermont Health Network  - Champl</t>
  </si>
  <si>
    <t>Plattsburgh</t>
  </si>
  <si>
    <t>Phelps Hospital</t>
  </si>
  <si>
    <t>Sleepy Hollow</t>
  </si>
  <si>
    <t>St James Hospital</t>
  </si>
  <si>
    <t>Hornell</t>
  </si>
  <si>
    <t>Glen Cove Hospital</t>
  </si>
  <si>
    <t>Glen Cove</t>
  </si>
  <si>
    <t>Northern Dutchess Hospital</t>
  </si>
  <si>
    <t>Rhinebeck</t>
  </si>
  <si>
    <t>Good Samaritan Hospital Of Suffern</t>
  </si>
  <si>
    <t>Suffern</t>
  </si>
  <si>
    <t>Oneida Health</t>
  </si>
  <si>
    <t>Oneida</t>
  </si>
  <si>
    <t>Highland Hospital</t>
  </si>
  <si>
    <t>Mercy Medical Center</t>
  </si>
  <si>
    <t>Rockville Centre</t>
  </si>
  <si>
    <t>Crouse Hospital</t>
  </si>
  <si>
    <t>Nicholas H Noyes Memorial Hospital</t>
  </si>
  <si>
    <t>Dansville</t>
  </si>
  <si>
    <t>Plainview Hospital</t>
  </si>
  <si>
    <t>Plainview</t>
  </si>
  <si>
    <t>St John's Riverside Hospital</t>
  </si>
  <si>
    <t>Jones Memorial Hospital</t>
  </si>
  <si>
    <t>Wellsville</t>
  </si>
  <si>
    <t>Nyack Hospital</t>
  </si>
  <si>
    <t>Nyack</t>
  </si>
  <si>
    <t>Cayuga Medical Center At Ithaca</t>
  </si>
  <si>
    <t>Ithaca</t>
  </si>
  <si>
    <t>Samaritan Hospital</t>
  </si>
  <si>
    <t>Troy</t>
  </si>
  <si>
    <t>Rome Memorial Hospital, Inc</t>
  </si>
  <si>
    <t>Rome</t>
  </si>
  <si>
    <t>Huntington Hospital</t>
  </si>
  <si>
    <t>Huntington</t>
  </si>
  <si>
    <t>Montefiore Mount Vernon Hospital</t>
  </si>
  <si>
    <t>Mount Vernon</t>
  </si>
  <si>
    <t>Wynn Hospital</t>
  </si>
  <si>
    <t>Utica</t>
  </si>
  <si>
    <t>New York Community Hospital Of Brooklyn, Inc.</t>
  </si>
  <si>
    <t>Our Lady Of Lourdes Memorial Hospital, Inc</t>
  </si>
  <si>
    <t>Northern Westchester Hospital</t>
  </si>
  <si>
    <t>Mount Kisco</t>
  </si>
  <si>
    <t>Kenmore Mercy Hospital</t>
  </si>
  <si>
    <t>Kenmore</t>
  </si>
  <si>
    <t>Peconic Bay Medical Center</t>
  </si>
  <si>
    <t>Riverhead</t>
  </si>
  <si>
    <t>Brooks-Tlc Hospital System, Inc</t>
  </si>
  <si>
    <t>Dunkirk</t>
  </si>
  <si>
    <t>St Luke's Cornwall Hospital</t>
  </si>
  <si>
    <t>Newburgh</t>
  </si>
  <si>
    <t>Hudson Valley Hospital Center</t>
  </si>
  <si>
    <t>Cortlandt Manor</t>
  </si>
  <si>
    <t>St Charles Hospital</t>
  </si>
  <si>
    <t>Unity Hospital Of Rochester</t>
  </si>
  <si>
    <t>Garnet Health  Medical Center Catskills</t>
  </si>
  <si>
    <t>Harris</t>
  </si>
  <si>
    <t>Claxton-Hepburn Medical Center</t>
  </si>
  <si>
    <t>Ogdensburg</t>
  </si>
  <si>
    <t>Niagara Falls Memorial Medical Center</t>
  </si>
  <si>
    <t>Niagara Falls</t>
  </si>
  <si>
    <t>Nathan Littauer Hospital</t>
  </si>
  <si>
    <t>Gloversville</t>
  </si>
  <si>
    <t>Saratoga Hospital</t>
  </si>
  <si>
    <t>Saratoga Springs</t>
  </si>
  <si>
    <t>Aurelia Osborn Fox Memorial Hospital</t>
  </si>
  <si>
    <t>Oneonta</t>
  </si>
  <si>
    <t>Oswego Hospital</t>
  </si>
  <si>
    <t>Oswego</t>
  </si>
  <si>
    <t>United Memorial Medical Center</t>
  </si>
  <si>
    <t>Batavia</t>
  </si>
  <si>
    <t>Geneva General Hospital</t>
  </si>
  <si>
    <t>Geneva</t>
  </si>
  <si>
    <t>St Mary's Healthcare</t>
  </si>
  <si>
    <t>Amsterdam</t>
  </si>
  <si>
    <t>Columbia Memorial Hospital</t>
  </si>
  <si>
    <t>Hudson</t>
  </si>
  <si>
    <t>St Joseph Hospital</t>
  </si>
  <si>
    <t>Bethpage</t>
  </si>
  <si>
    <t>Mount St Mary's Hospital And Health Center</t>
  </si>
  <si>
    <t>Lewiston</t>
  </si>
  <si>
    <t>Glens Falls Hospital</t>
  </si>
  <si>
    <t>Glens Falls</t>
  </si>
  <si>
    <t>Healthalliance Hospital Marys Avenue Campus</t>
  </si>
  <si>
    <t>Kingston</t>
  </si>
  <si>
    <t>Putnam Hospital Center</t>
  </si>
  <si>
    <t>Carmel</t>
  </si>
  <si>
    <t>Olean General Hospital</t>
  </si>
  <si>
    <t>Olean</t>
  </si>
  <si>
    <t>Canton-Potsdam Hospital</t>
  </si>
  <si>
    <t>Potsdam</t>
  </si>
  <si>
    <t>St Catherine Of Siena Hospital Medical Center</t>
  </si>
  <si>
    <t>Smithtown</t>
  </si>
  <si>
    <t>Guthrie Cortland Regional Medical Center</t>
  </si>
  <si>
    <t>Cortland</t>
  </si>
  <si>
    <t>Bon Secours Community Hospital</t>
  </si>
  <si>
    <t>Port Jervis</t>
  </si>
  <si>
    <t>St Anthony Community Hospital</t>
  </si>
  <si>
    <t>Warwick</t>
  </si>
  <si>
    <t>F F Thompson Hospital</t>
  </si>
  <si>
    <t>Canandaigua</t>
  </si>
  <si>
    <t>Clifton Springs Hospital And Clinic</t>
  </si>
  <si>
    <t>Clifton Springs</t>
  </si>
  <si>
    <t>Auburn  Community  Hospital</t>
  </si>
  <si>
    <t>Auburn</t>
  </si>
  <si>
    <t>Sunnyview Hospital And Rehabilitation Center</t>
  </si>
  <si>
    <t>Corning Hospital</t>
  </si>
  <si>
    <t>Corning</t>
  </si>
  <si>
    <t>Upmc Chautauqua At Wca</t>
  </si>
  <si>
    <t>Jamestown</t>
  </si>
  <si>
    <t>Newark-Wayne Community Hospital</t>
  </si>
  <si>
    <t>Newark</t>
  </si>
  <si>
    <t>Bertrand Chaffee Hospital</t>
  </si>
  <si>
    <t>Springville</t>
  </si>
  <si>
    <t>Row Labels</t>
  </si>
  <si>
    <t>Grand Total</t>
  </si>
  <si>
    <t>Avg Payment</t>
  </si>
  <si>
    <t>Avg Readmission</t>
  </si>
  <si>
    <t>Avg Star</t>
  </si>
  <si>
    <t>Hospitals</t>
  </si>
  <si>
    <t>TRUE</t>
  </si>
  <si>
    <t>NY Hospital Cost vs Quality — Key Findings</t>
  </si>
  <si>
    <t>Finding</t>
  </si>
  <si>
    <t>Patient experience, not spending, predicts hospital quality.</t>
  </si>
  <si>
    <t>Satisfaction ↔ readmissions:</t>
  </si>
  <si>
    <t>r = -0.44 (p &lt; 0.001) — strong</t>
  </si>
  <si>
    <t>Cost ↔ readmissions:</t>
  </si>
  <si>
    <t>r = -0.06 (not significant) — none</t>
  </si>
  <si>
    <t>Hospitals analyzed:</t>
  </si>
  <si>
    <t>90 (≥500 discharges)</t>
  </si>
  <si>
    <t>Note: NYC hospitals are paid ~90% more per discharge than upstate, largely due to Medicare's geographic wage index — not efficiency. Source: CMS, 2026.</t>
  </si>
  <si>
    <t>See Analysis tab for regional breakdown, Data tab for hospital-level detail.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</si>
</sst>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2"/>
      <color theme="1"/>
      <name val="Aptos Narrow"/>
      <family val="2"/>
      <scheme val="minor"/>
    </font>
    <font>
      <b/>
      <sz val="16"/>
      <color theme="1"/>
      <name val="Aptos Narrow"/>
      <scheme val="minor"/>
    </font>
    <font>
      <i/>
      <sz val="11"/>
      <color theme="1"/>
      <name val="Aptos Narrow (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eet Patel" refreshedDate="46282.685911689812" createdVersion="8" refreshedVersion="8" minRefreshableVersion="3" recordCount="125" xr:uid="{F6E7D154-5630-3242-82C2-2CD56C075720}">
  <cacheSource type="worksheet">
    <worksheetSource name="hospital_cost_quality"/>
  </cacheSource>
  <cacheFields count="13">
    <cacheField name="ccn" numFmtId="0">
      <sharedItems containsSemiMixedTypes="0" containsString="0" containsNumber="1" containsInteger="1" minValue="330005" maxValue="330406"/>
    </cacheField>
    <cacheField name="hospital_name" numFmtId="0">
      <sharedItems/>
    </cacheField>
    <cacheField name="city" numFmtId="0">
      <sharedItems/>
    </cacheField>
    <cacheField name="region" numFmtId="0">
      <sharedItems count="3">
        <s v="NYC"/>
        <s v="Upstate"/>
        <s v="Downstate suburbs"/>
      </sharedItems>
    </cacheField>
    <cacheField name="total_discharges" numFmtId="0">
      <sharedItems containsSemiMixedTypes="0" containsString="0" containsNumber="1" containsInteger="1" minValue="32" maxValue="27689"/>
    </cacheField>
    <cacheField name="avg_payment_per_discharge" numFmtId="0">
      <sharedItems containsSemiMixedTypes="0" containsString="0" containsNumber="1" minValue="10230.530000000001" maxValue="58663.8"/>
    </cacheField>
    <cacheField name="readmission_ratio" numFmtId="0">
      <sharedItems containsString="0" containsBlank="1" containsNumber="1" minValue="0.67379999999999995" maxValue="1.1778"/>
    </cacheField>
    <cacheField name="patient_satisfaction_star" numFmtId="0">
      <sharedItems containsString="0" containsBlank="1" containsNumber="1" containsInteger="1" minValue="1" maxValue="5"/>
    </cacheField>
    <cacheField name="patient_safety_psi90" numFmtId="0">
      <sharedItems containsString="0" containsBlank="1" containsNumber="1" minValue="0.4" maxValue="2.2799999999999998"/>
    </cacheField>
    <cacheField name="mortality_30_pneumonia" numFmtId="0">
      <sharedItems containsString="0" containsBlank="1" containsNumber="1" minValue="8.8000000000000007" maxValue="26.5"/>
    </cacheField>
    <cacheField name="has_core_readmissions" numFmtId="0">
      <sharedItems containsBlank="1"/>
    </cacheField>
    <cacheField name="is_analytic" numFmtId="0">
      <sharedItems count="2">
        <b v="1"/>
        <b v="0"/>
      </sharedItems>
    </cacheField>
    <cacheField name="value_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5">
  <r>
    <n v="330202"/>
    <s v="Kings County Hospital Center"/>
    <s v="Brooklyn"/>
    <x v="0"/>
    <n v="902"/>
    <n v="58663.8"/>
    <n v="0.98040000000000005"/>
    <n v="2"/>
    <n v="1.18"/>
    <n v="18.5"/>
    <b v="1"/>
    <x v="0"/>
    <s v="Good outcomes"/>
  </r>
  <r>
    <n v="330204"/>
    <s v="Bellevue Hospital Center"/>
    <s v="New York"/>
    <x v="0"/>
    <n v="918"/>
    <n v="57873.26"/>
    <n v="1.0059"/>
    <n v="2"/>
    <n v="1.1599999999999999"/>
    <n v="13.9"/>
    <b v="1"/>
    <x v="0"/>
    <s v="Poor outcomes"/>
  </r>
  <r>
    <n v="330231"/>
    <s v="Queens Hospital Center"/>
    <s v="Jamaica"/>
    <x v="0"/>
    <n v="570"/>
    <n v="56382.92"/>
    <n v="1.0119"/>
    <n v="3"/>
    <n v="0.88"/>
    <n v="13.7"/>
    <b v="1"/>
    <x v="0"/>
    <s v="Poor outcomes"/>
  </r>
  <r>
    <n v="330199"/>
    <s v="Metropolitan Hospital Center"/>
    <s v="New York"/>
    <x v="0"/>
    <n v="45"/>
    <n v="56067.4"/>
    <n v="0.97699999999999998"/>
    <n v="2"/>
    <n v="0.93"/>
    <n v="13.8"/>
    <b v="0"/>
    <x v="1"/>
    <s v="Excluded (low volume)"/>
  </r>
  <r>
    <n v="330396"/>
    <s v="Woodhull Medical &amp; Mental Health Center"/>
    <s v="Brooklyn"/>
    <x v="0"/>
    <n v="196"/>
    <n v="51463.12"/>
    <n v="1.0246999999999999"/>
    <n v="2"/>
    <n v="1.4"/>
    <n v="17.5"/>
    <b v="0"/>
    <x v="1"/>
    <s v="Excluded (low volume)"/>
  </r>
  <r>
    <n v="330024"/>
    <s v="Mount Sinai Hospital"/>
    <s v="New York"/>
    <x v="0"/>
    <n v="9718"/>
    <n v="42889.51"/>
    <n v="0.90569999999999995"/>
    <n v="3"/>
    <n v="1.03"/>
    <n v="13.8"/>
    <b v="1"/>
    <x v="0"/>
    <s v="Good outcomes"/>
  </r>
  <r>
    <n v="330240"/>
    <s v="Harlem Hospital Center"/>
    <s v="New York"/>
    <x v="0"/>
    <n v="344"/>
    <n v="41003.440000000002"/>
    <n v="1.0424"/>
    <n v="1"/>
    <n v="1.01"/>
    <n v="12.3"/>
    <b v="1"/>
    <x v="1"/>
    <s v="Excluded (low volume)"/>
  </r>
  <r>
    <n v="330101"/>
    <s v="New York-Presbyterian Hospital"/>
    <s v="New York"/>
    <x v="0"/>
    <n v="27689"/>
    <n v="37525.72"/>
    <n v="0.90510000000000002"/>
    <n v="3"/>
    <n v="0.4"/>
    <n v="11.6"/>
    <b v="1"/>
    <x v="0"/>
    <s v="Good outcomes"/>
  </r>
  <r>
    <n v="330350"/>
    <s v="Suny Health Science Center At Brooklyn University"/>
    <s v="Brooklyn"/>
    <x v="0"/>
    <n v="403"/>
    <n v="37374.07"/>
    <n v="1.0285"/>
    <n v="2"/>
    <n v="1.05"/>
    <n v="18.3"/>
    <b v="0"/>
    <x v="1"/>
    <s v="Excluded (low volume)"/>
  </r>
  <r>
    <n v="330399"/>
    <s v="St Barnabas Hospital"/>
    <s v="Bronx"/>
    <x v="0"/>
    <n v="395"/>
    <n v="36821.919999999998"/>
    <n v="1.0287999999999999"/>
    <n v="2"/>
    <n v="1.28"/>
    <n v="16.899999999999999"/>
    <b v="0"/>
    <x v="1"/>
    <s v="Excluded (low volume)"/>
  </r>
  <r>
    <n v="330270"/>
    <s v="Hospital For Special Surgery"/>
    <s v="New York"/>
    <x v="0"/>
    <n v="3230"/>
    <n v="36222.620000000003"/>
    <n v="0.67379999999999995"/>
    <n v="4"/>
    <n v="0.62"/>
    <m/>
    <b v="0"/>
    <x v="1"/>
    <s v="Excluded (low volume)"/>
  </r>
  <r>
    <n v="330285"/>
    <s v="Strong Memorial Hospital"/>
    <s v="Rochester"/>
    <x v="1"/>
    <n v="4088"/>
    <n v="36175.53"/>
    <n v="0.95830000000000004"/>
    <n v="3"/>
    <n v="1.33"/>
    <n v="12.4"/>
    <b v="1"/>
    <x v="0"/>
    <s v="Good outcomes"/>
  </r>
  <r>
    <n v="330128"/>
    <s v="Elmhurst Hospital Center"/>
    <s v="Elmhurst"/>
    <x v="0"/>
    <n v="1022"/>
    <n v="35986.980000000003"/>
    <n v="0.97989999999999999"/>
    <n v="2"/>
    <n v="1.1299999999999999"/>
    <n v="15.5"/>
    <b v="1"/>
    <x v="0"/>
    <s v="Good outcomes"/>
  </r>
  <r>
    <n v="330080"/>
    <s v="Lincoln Medical &amp; Mental Health Center"/>
    <s v="Bronx"/>
    <x v="0"/>
    <n v="330"/>
    <n v="35369.94"/>
    <n v="0.98060000000000003"/>
    <n v="2"/>
    <n v="0.94"/>
    <n v="17.8"/>
    <b v="0"/>
    <x v="1"/>
    <s v="Excluded (low volume)"/>
  </r>
  <r>
    <n v="330127"/>
    <s v="Jacobi Medical Center"/>
    <s v="Bronx"/>
    <x v="0"/>
    <n v="1771"/>
    <n v="35262.089999999997"/>
    <n v="1.0097"/>
    <n v="2"/>
    <n v="1.1399999999999999"/>
    <n v="15.7"/>
    <b v="1"/>
    <x v="0"/>
    <s v="Poor outcomes"/>
  </r>
  <r>
    <n v="330059"/>
    <s v="Montefiore Medical Center"/>
    <s v="Bronx"/>
    <x v="0"/>
    <n v="9060"/>
    <n v="33416.870000000003"/>
    <n v="1.0363"/>
    <n v="2"/>
    <n v="1.23"/>
    <n v="10.8"/>
    <b v="1"/>
    <x v="0"/>
    <s v="Poor outcomes"/>
  </r>
  <r>
    <n v="330214"/>
    <s v="Nyu Langone Hospitals"/>
    <s v="New York"/>
    <x v="0"/>
    <n v="26286"/>
    <n v="32594.1"/>
    <n v="0.85599999999999998"/>
    <n v="3"/>
    <n v="0.67"/>
    <n v="8.8000000000000007"/>
    <b v="1"/>
    <x v="0"/>
    <s v="Good outcomes"/>
  </r>
  <r>
    <n v="330009"/>
    <s v="Bronxcare Hospital Center"/>
    <s v="Bronx"/>
    <x v="0"/>
    <n v="824"/>
    <n v="32182.89"/>
    <n v="1.0892999999999999"/>
    <n v="2"/>
    <n v="0.89"/>
    <n v="13.8"/>
    <b v="1"/>
    <x v="0"/>
    <s v="Poor outcomes"/>
  </r>
  <r>
    <n v="330194"/>
    <s v="Maimonides Medical Center"/>
    <s v="Brooklyn"/>
    <x v="0"/>
    <n v="5865"/>
    <n v="32040.34"/>
    <n v="1.0895999999999999"/>
    <n v="2"/>
    <n v="0.9"/>
    <n v="13.1"/>
    <b v="1"/>
    <x v="0"/>
    <s v="Poor outcomes"/>
  </r>
  <r>
    <n v="330119"/>
    <s v="Lenox Hill Hospital"/>
    <s v="New York"/>
    <x v="0"/>
    <n v="4039"/>
    <n v="30150.12"/>
    <n v="0.93620000000000003"/>
    <n v="2"/>
    <n v="0.96"/>
    <n v="13.7"/>
    <b v="1"/>
    <x v="0"/>
    <s v="Good outcomes"/>
  </r>
  <r>
    <n v="330234"/>
    <s v="Westchester Medical Center"/>
    <s v="Valhalla"/>
    <x v="2"/>
    <n v="4024"/>
    <n v="29596.86"/>
    <n v="0.96279999999999999"/>
    <n v="2"/>
    <n v="1.22"/>
    <n v="17"/>
    <b v="1"/>
    <x v="0"/>
    <s v="Good outcomes"/>
  </r>
  <r>
    <n v="330056"/>
    <s v="Brooklyn Hospital Center - Downtown Campus"/>
    <s v="Brooklyn"/>
    <x v="0"/>
    <n v="714"/>
    <n v="29531.3"/>
    <n v="1.0456000000000001"/>
    <n v="2"/>
    <n v="0.88"/>
    <n v="19.3"/>
    <b v="1"/>
    <x v="0"/>
    <s v="Poor outcomes"/>
  </r>
  <r>
    <n v="330233"/>
    <s v="Brookdale Hospital Medical Center"/>
    <s v="Brooklyn"/>
    <x v="0"/>
    <n v="1485"/>
    <n v="28923.119999999999"/>
    <n v="1.0123"/>
    <n v="1"/>
    <n v="1.51"/>
    <n v="19.2"/>
    <b v="1"/>
    <x v="0"/>
    <s v="Poor outcomes"/>
  </r>
  <r>
    <n v="330196"/>
    <s v="South Brooklyn Health"/>
    <s v="Brooklyn"/>
    <x v="0"/>
    <n v="2684"/>
    <n v="28288.81"/>
    <n v="1.1079000000000001"/>
    <n v="2"/>
    <n v="1.08"/>
    <n v="15.1"/>
    <b v="1"/>
    <x v="0"/>
    <s v="Poor outcomes"/>
  </r>
  <r>
    <n v="330046"/>
    <s v="Mount Sinai West"/>
    <s v="New York"/>
    <x v="0"/>
    <n v="4907"/>
    <n v="27951.52"/>
    <n v="1.0311999999999999"/>
    <n v="2"/>
    <n v="0.92"/>
    <n v="11.9"/>
    <b v="1"/>
    <x v="0"/>
    <s v="Poor outcomes"/>
  </r>
  <r>
    <n v="330193"/>
    <s v="Flushing Hospital Medical Center"/>
    <s v="Flushing"/>
    <x v="0"/>
    <n v="1226"/>
    <n v="27894.240000000002"/>
    <n v="0.99470000000000003"/>
    <n v="3"/>
    <n v="1.02"/>
    <n v="17.899999999999999"/>
    <b v="1"/>
    <x v="0"/>
    <s v="Good outcomes"/>
  </r>
  <r>
    <n v="330013"/>
    <s v="Albany Medical Center Hospital"/>
    <s v="Albany"/>
    <x v="1"/>
    <n v="5638"/>
    <n v="27422.37"/>
    <n v="0.95709999999999995"/>
    <n v="2"/>
    <n v="1.22"/>
    <n v="17.5"/>
    <b v="1"/>
    <x v="0"/>
    <s v="Good outcomes"/>
  </r>
  <r>
    <n v="330395"/>
    <s v="St John's Episcopal Hospital At South Shore"/>
    <s v="Far Rockaway"/>
    <x v="0"/>
    <n v="1507"/>
    <n v="26541.01"/>
    <n v="1.1635"/>
    <n v="2"/>
    <n v="1.26"/>
    <n v="26.5"/>
    <b v="1"/>
    <x v="0"/>
    <s v="Poor outcomes"/>
  </r>
  <r>
    <n v="330014"/>
    <s v="Jamaica Hospital Medical Center"/>
    <s v="Jamaica"/>
    <x v="0"/>
    <n v="932"/>
    <n v="26347.05"/>
    <n v="1.0579000000000001"/>
    <n v="2"/>
    <n v="1.48"/>
    <n v="15.6"/>
    <b v="1"/>
    <x v="0"/>
    <s v="Poor outcomes"/>
  </r>
  <r>
    <n v="330028"/>
    <s v="Richmond University Medical Center"/>
    <s v="Staten Island"/>
    <x v="0"/>
    <n v="1265"/>
    <n v="26238.240000000002"/>
    <n v="1.0749"/>
    <n v="2"/>
    <n v="1.08"/>
    <n v="15.2"/>
    <b v="1"/>
    <x v="0"/>
    <s v="Poor outcomes"/>
  </r>
  <r>
    <n v="330106"/>
    <s v="North Shore University Hospital"/>
    <s v="Manhasset"/>
    <x v="1"/>
    <n v="12259"/>
    <n v="25750.05"/>
    <n v="0.98580000000000001"/>
    <n v="3"/>
    <n v="0.94"/>
    <n v="11.9"/>
    <b v="1"/>
    <x v="0"/>
    <s v="Good outcomes"/>
  </r>
  <r>
    <n v="330393"/>
    <s v="Stony Brook University Hospital"/>
    <s v="Stony Brook"/>
    <x v="2"/>
    <n v="13318"/>
    <n v="24740.28"/>
    <n v="0.92779999999999996"/>
    <n v="3"/>
    <n v="1.06"/>
    <n v="12.9"/>
    <b v="1"/>
    <x v="0"/>
    <s v="Good outcomes"/>
  </r>
  <r>
    <n v="330005"/>
    <s v="Kaleida Health"/>
    <s v="Buffalo"/>
    <x v="1"/>
    <n v="4764"/>
    <n v="24079.58"/>
    <n v="1.0027999999999999"/>
    <n v="2"/>
    <n v="1.44"/>
    <n v="12"/>
    <b v="1"/>
    <x v="0"/>
    <s v="Poor outcomes"/>
  </r>
  <r>
    <n v="330055"/>
    <s v="New York-Presbyterian/Queens"/>
    <s v="Flushing"/>
    <x v="0"/>
    <n v="4779"/>
    <n v="23869.03"/>
    <n v="0.93859999999999999"/>
    <n v="3"/>
    <n v="0.62"/>
    <n v="14.3"/>
    <b v="1"/>
    <x v="0"/>
    <s v="Good outcomes"/>
  </r>
  <r>
    <n v="330006"/>
    <s v="St Joseph's Medical Center"/>
    <s v="Yonkers"/>
    <x v="2"/>
    <n v="202"/>
    <n v="23043.16"/>
    <n v="1.0297000000000001"/>
    <n v="1"/>
    <n v="0.91"/>
    <n v="14.7"/>
    <b v="0"/>
    <x v="1"/>
    <s v="Excluded (low volume)"/>
  </r>
  <r>
    <n v="330023"/>
    <s v="Vassar Brothers Medical Center"/>
    <s v="Poughkeepsie"/>
    <x v="1"/>
    <n v="5764"/>
    <n v="22952.47"/>
    <n v="1.0495000000000001"/>
    <n v="3"/>
    <n v="1.08"/>
    <n v="14"/>
    <b v="1"/>
    <x v="0"/>
    <s v="Poor outcomes"/>
  </r>
  <r>
    <n v="330241"/>
    <s v="University Hospital S U N Y Health Science Center"/>
    <s v="Syracuse"/>
    <x v="1"/>
    <n v="4413"/>
    <n v="22620.03"/>
    <n v="0.96130000000000004"/>
    <n v="3"/>
    <n v="1.48"/>
    <n v="11.8"/>
    <b v="1"/>
    <x v="0"/>
    <s v="Good outcomes"/>
  </r>
  <r>
    <n v="330043"/>
    <s v="South Shore University  Hospital"/>
    <s v="Bay Shore"/>
    <x v="2"/>
    <n v="4520"/>
    <n v="22190.57"/>
    <n v="0.98960000000000004"/>
    <n v="3"/>
    <n v="0.98"/>
    <n v="14.9"/>
    <b v="1"/>
    <x v="0"/>
    <s v="Good outcomes"/>
  </r>
  <r>
    <n v="330125"/>
    <s v="Rochester General Hospital"/>
    <s v="Rochester"/>
    <x v="1"/>
    <n v="2545"/>
    <n v="22166.21"/>
    <n v="1.0619000000000001"/>
    <n v="2"/>
    <n v="1.75"/>
    <n v="14.7"/>
    <b v="1"/>
    <x v="0"/>
    <s v="Poor outcomes"/>
  </r>
  <r>
    <n v="330160"/>
    <s v="Staten Island University Hospital"/>
    <s v="Staten Island"/>
    <x v="0"/>
    <n v="7127"/>
    <n v="22156.82"/>
    <n v="1.0219"/>
    <n v="2"/>
    <n v="1.1200000000000001"/>
    <n v="14.9"/>
    <b v="1"/>
    <x v="0"/>
    <s v="Poor outcomes"/>
  </r>
  <r>
    <n v="330140"/>
    <s v="St Joseph's Hospital Health Center"/>
    <s v="Syracuse"/>
    <x v="1"/>
    <n v="3097"/>
    <n v="22143.23"/>
    <n v="1.0792999999999999"/>
    <n v="3"/>
    <n v="1.18"/>
    <n v="16.899999999999999"/>
    <b v="1"/>
    <x v="0"/>
    <s v="Poor outcomes"/>
  </r>
  <r>
    <n v="330195"/>
    <s v="Long Island Jewish Medical Center"/>
    <s v="New Hyde Park"/>
    <x v="1"/>
    <n v="10061"/>
    <n v="21814.07"/>
    <n v="1.0239"/>
    <n v="3"/>
    <n v="1.03"/>
    <n v="14"/>
    <b v="1"/>
    <x v="0"/>
    <s v="Poor outcomes"/>
  </r>
  <r>
    <n v="330221"/>
    <s v="Wyckoff Heights Medical Center"/>
    <s v="Brooklyn"/>
    <x v="0"/>
    <n v="623"/>
    <n v="21650.65"/>
    <n v="0.99099999999999999"/>
    <n v="2"/>
    <n v="0.97"/>
    <n v="17.8"/>
    <b v="1"/>
    <x v="0"/>
    <s v="Good outcomes"/>
  </r>
  <r>
    <n v="330184"/>
    <s v="Montefiore New Rochelle Hospital"/>
    <s v="New Rochelle"/>
    <x v="2"/>
    <n v="881"/>
    <n v="21370.92"/>
    <n v="1.0318000000000001"/>
    <n v="2"/>
    <n v="0.94"/>
    <n v="21.1"/>
    <b v="1"/>
    <x v="0"/>
    <s v="Poor outcomes"/>
  </r>
  <r>
    <n v="330027"/>
    <s v="Nassau University Medical Center"/>
    <s v="East Meadow"/>
    <x v="2"/>
    <n v="1442"/>
    <n v="21192.18"/>
    <n v="1.0907"/>
    <n v="1"/>
    <n v="1.23"/>
    <n v="18.8"/>
    <b v="1"/>
    <x v="0"/>
    <s v="Poor outcomes"/>
  </r>
  <r>
    <n v="330219"/>
    <s v="Erie County Medical Center"/>
    <s v="Buffalo"/>
    <x v="1"/>
    <n v="1263"/>
    <n v="21155.3"/>
    <n v="0.97570000000000001"/>
    <n v="2"/>
    <n v="2.09"/>
    <n v="15"/>
    <b v="1"/>
    <x v="0"/>
    <s v="Good outcomes"/>
  </r>
  <r>
    <n v="330169"/>
    <s v="Mount Sinai Beth Israel"/>
    <s v="New York"/>
    <x v="0"/>
    <n v="3089"/>
    <n v="21084.65"/>
    <n v="1.0604"/>
    <n v="2"/>
    <n v="0.97"/>
    <n v="12.6"/>
    <b v="1"/>
    <x v="0"/>
    <s v="Poor outcomes"/>
  </r>
  <r>
    <n v="330136"/>
    <s v="Mary Imogene Bassett Hospital"/>
    <s v="Cooperstown"/>
    <x v="1"/>
    <n v="1567"/>
    <n v="20799.919999999998"/>
    <n v="0.94979999999999998"/>
    <n v="3"/>
    <n v="1.27"/>
    <n v="18.7"/>
    <b v="1"/>
    <x v="0"/>
    <s v="Good outcomes"/>
  </r>
  <r>
    <n v="330182"/>
    <s v="St Francis Hospital, Roslyn"/>
    <s v="Roslyn"/>
    <x v="2"/>
    <n v="10053"/>
    <n v="20414.03"/>
    <n v="0.94589999999999996"/>
    <n v="4"/>
    <n v="1.1000000000000001"/>
    <n v="11.9"/>
    <b v="1"/>
    <x v="0"/>
    <s v="Good outcomes"/>
  </r>
  <r>
    <n v="330198"/>
    <s v="Mount Sinai South Nassau"/>
    <s v="Oceanside"/>
    <x v="2"/>
    <n v="5144"/>
    <n v="19505.28"/>
    <n v="1.0804"/>
    <n v="2"/>
    <n v="0.85"/>
    <n v="14.1"/>
    <b v="1"/>
    <x v="0"/>
    <s v="Poor outcomes"/>
  </r>
  <r>
    <n v="330286"/>
    <s v="Good Samaritan Hospital Medical Center"/>
    <s v="West Islip"/>
    <x v="2"/>
    <n v="5930"/>
    <n v="19015.73"/>
    <n v="0.88880000000000003"/>
    <n v="2"/>
    <n v="1.43"/>
    <n v="19.5"/>
    <b v="1"/>
    <x v="0"/>
    <s v="Good outcomes"/>
  </r>
  <r>
    <n v="330394"/>
    <s v="United Health Services Hospitals, Inc"/>
    <s v="Binghamton"/>
    <x v="1"/>
    <n v="2408"/>
    <n v="18822.03"/>
    <n v="0.98429999999999995"/>
    <n v="3"/>
    <n v="1.58"/>
    <n v="17.2"/>
    <b v="1"/>
    <x v="0"/>
    <s v="Good outcomes"/>
  </r>
  <r>
    <n v="330153"/>
    <s v="Ellis Hospital"/>
    <s v="Schenectady"/>
    <x v="1"/>
    <n v="1588"/>
    <n v="18428.37"/>
    <n v="0.99760000000000004"/>
    <n v="2"/>
    <n v="1.37"/>
    <n v="15.7"/>
    <b v="1"/>
    <x v="0"/>
    <s v="Good outcomes"/>
  </r>
  <r>
    <n v="330185"/>
    <s v="John T Mather Memorial Hospital  Of Port Jefferson"/>
    <s v="Port Jefferson"/>
    <x v="2"/>
    <n v="3485"/>
    <n v="18182.509999999998"/>
    <n v="0.95150000000000001"/>
    <n v="4"/>
    <n v="0.93"/>
    <n v="9.8000000000000007"/>
    <b v="1"/>
    <x v="0"/>
    <s v="Good outcomes"/>
  </r>
  <r>
    <n v="330057"/>
    <s v="St Peter's Hospital"/>
    <s v="Albany"/>
    <x v="1"/>
    <n v="4645"/>
    <n v="17784.21"/>
    <n v="1.0664"/>
    <n v="3"/>
    <n v="1.2"/>
    <n v="16"/>
    <b v="1"/>
    <x v="0"/>
    <s v="Poor outcomes"/>
  </r>
  <r>
    <n v="330079"/>
    <s v="Adirondack Medical Center - Saranac Lake"/>
    <s v="Saranac Lake"/>
    <x v="1"/>
    <n v="312"/>
    <n v="17747.86"/>
    <n v="0.89229999999999998"/>
    <n v="5"/>
    <n v="1.28"/>
    <n v="17.8"/>
    <b v="1"/>
    <x v="1"/>
    <s v="Excluded (low volume)"/>
  </r>
  <r>
    <n v="330304"/>
    <s v="White Plains Hospital Center"/>
    <s v="White Plains"/>
    <x v="2"/>
    <n v="6453"/>
    <n v="17379.060000000001"/>
    <n v="0.97099999999999997"/>
    <n v="3"/>
    <n v="0.77"/>
    <n v="10.5"/>
    <b v="1"/>
    <x v="0"/>
    <s v="Good outcomes"/>
  </r>
  <r>
    <n v="330033"/>
    <s v="Chenango Memorial Hospital"/>
    <s v="Norwich"/>
    <x v="1"/>
    <n v="128"/>
    <n v="17138.68"/>
    <n v="0.97940000000000005"/>
    <n v="4"/>
    <n v="1.1599999999999999"/>
    <n v="21.3"/>
    <b v="0"/>
    <x v="1"/>
    <s v="Excluded (low volume)"/>
  </r>
  <r>
    <n v="330141"/>
    <s v="Long Island Community Hospital"/>
    <s v="Patchogue"/>
    <x v="2"/>
    <n v="2996"/>
    <n v="16788.59"/>
    <n v="0.95130000000000003"/>
    <n v="2"/>
    <n v="0.87"/>
    <n v="14.4"/>
    <b v="1"/>
    <x v="0"/>
    <s v="Good outcomes"/>
  </r>
  <r>
    <n v="330279"/>
    <s v="Mercy Hospital Of Buffalo"/>
    <s v="Buffalo"/>
    <x v="1"/>
    <n v="2029"/>
    <n v="16675.759999999998"/>
    <n v="1.0437000000000001"/>
    <n v="3"/>
    <n v="1.05"/>
    <n v="17.8"/>
    <b v="1"/>
    <x v="0"/>
    <s v="Poor outcomes"/>
  </r>
  <r>
    <n v="330078"/>
    <s v="Sisters Of Charity Hospital"/>
    <s v="Buffalo"/>
    <x v="1"/>
    <n v="441"/>
    <n v="16665.849999999999"/>
    <n v="1.0353000000000001"/>
    <n v="3"/>
    <n v="1.71"/>
    <n v="12"/>
    <b v="1"/>
    <x v="1"/>
    <s v="Excluded (low volume)"/>
  </r>
  <r>
    <n v="330157"/>
    <s v="Samaritan Medical Center"/>
    <s v="Watertown"/>
    <x v="1"/>
    <n v="807"/>
    <n v="16429.990000000002"/>
    <n v="1.0179"/>
    <n v="3"/>
    <n v="0.94"/>
    <n v="17.399999999999999"/>
    <b v="1"/>
    <x v="0"/>
    <s v="Poor outcomes"/>
  </r>
  <r>
    <n v="330126"/>
    <s v="Garnet Health Medical Center"/>
    <s v="Middletown"/>
    <x v="2"/>
    <n v="5742"/>
    <n v="16412.86"/>
    <n v="1.0267999999999999"/>
    <n v="3"/>
    <n v="0.81"/>
    <n v="12.8"/>
    <b v="1"/>
    <x v="0"/>
    <s v="Poor outcomes"/>
  </r>
  <r>
    <n v="330090"/>
    <s v="Arnot Ogden Medical Center"/>
    <s v="Elmira"/>
    <x v="1"/>
    <n v="803"/>
    <n v="16056.66"/>
    <n v="0.99229999999999996"/>
    <n v="3"/>
    <n v="2.2799999999999998"/>
    <n v="17"/>
    <b v="1"/>
    <x v="0"/>
    <s v="Good outcomes"/>
  </r>
  <r>
    <n v="330250"/>
    <s v="The University Of Vermont Health Network  - Champl"/>
    <s v="Plattsburgh"/>
    <x v="1"/>
    <n v="1812"/>
    <n v="15967.09"/>
    <n v="1.0047999999999999"/>
    <n v="3"/>
    <n v="2.02"/>
    <n v="14.5"/>
    <b v="1"/>
    <x v="0"/>
    <s v="Poor outcomes"/>
  </r>
  <r>
    <n v="330261"/>
    <s v="Phelps Hospital"/>
    <s v="Sleepy Hollow"/>
    <x v="2"/>
    <n v="1551"/>
    <n v="15910.61"/>
    <n v="0.93169999999999997"/>
    <n v="3"/>
    <n v="1.08"/>
    <n v="17.600000000000001"/>
    <b v="1"/>
    <x v="0"/>
    <s v="Good outcomes"/>
  </r>
  <r>
    <n v="330151"/>
    <s v="St James Hospital"/>
    <s v="Hornell"/>
    <x v="1"/>
    <n v="129"/>
    <n v="15908.67"/>
    <n v="1.0311999999999999"/>
    <n v="3"/>
    <n v="0.97"/>
    <n v="13.4"/>
    <b v="1"/>
    <x v="1"/>
    <s v="Excluded (low volume)"/>
  </r>
  <r>
    <n v="330181"/>
    <s v="Glen Cove Hospital"/>
    <s v="Glen Cove"/>
    <x v="2"/>
    <n v="1284"/>
    <n v="15691.2"/>
    <n v="0.93969999999999998"/>
    <n v="4"/>
    <n v="0.85"/>
    <n v="14.9"/>
    <b v="1"/>
    <x v="0"/>
    <s v="Good outcomes"/>
  </r>
  <r>
    <n v="330049"/>
    <s v="Northern Dutchess Hospital"/>
    <s v="Rhinebeck"/>
    <x v="1"/>
    <n v="974"/>
    <n v="15649.36"/>
    <n v="0.98150000000000004"/>
    <n v="4"/>
    <n v="0.82"/>
    <n v="12.6"/>
    <b v="1"/>
    <x v="0"/>
    <s v="Good outcomes"/>
  </r>
  <r>
    <n v="330158"/>
    <s v="Good Samaritan Hospital Of Suffern"/>
    <s v="Suffern"/>
    <x v="2"/>
    <n v="3083"/>
    <n v="15600.05"/>
    <n v="1.0314000000000001"/>
    <n v="2"/>
    <n v="0.88"/>
    <n v="16.3"/>
    <b v="1"/>
    <x v="0"/>
    <s v="Poor outcomes"/>
  </r>
  <r>
    <n v="330115"/>
    <s v="Oneida Health"/>
    <s v="Oneida"/>
    <x v="1"/>
    <n v="287"/>
    <n v="15565.6"/>
    <n v="1.0550999999999999"/>
    <n v="4"/>
    <n v="0.93"/>
    <n v="20.100000000000001"/>
    <b v="1"/>
    <x v="1"/>
    <s v="Excluded (low volume)"/>
  </r>
  <r>
    <n v="330164"/>
    <s v="Highland Hospital"/>
    <s v="Rochester"/>
    <x v="1"/>
    <n v="1723"/>
    <n v="15550.47"/>
    <n v="1.0322"/>
    <n v="3"/>
    <n v="0.97"/>
    <n v="11.3"/>
    <b v="1"/>
    <x v="0"/>
    <s v="Poor outcomes"/>
  </r>
  <r>
    <n v="330259"/>
    <s v="Mercy Medical Center"/>
    <s v="Rockville Centre"/>
    <x v="2"/>
    <n v="1663"/>
    <n v="15274.29"/>
    <n v="0.9466"/>
    <n v="3"/>
    <n v="0.86"/>
    <n v="15.3"/>
    <b v="1"/>
    <x v="0"/>
    <s v="Good outcomes"/>
  </r>
  <r>
    <n v="330203"/>
    <s v="Crouse Hospital"/>
    <s v="Syracuse"/>
    <x v="1"/>
    <n v="2619"/>
    <n v="15222.04"/>
    <n v="1.0531999999999999"/>
    <n v="3"/>
    <n v="1.17"/>
    <n v="19.899999999999999"/>
    <b v="1"/>
    <x v="0"/>
    <s v="Poor outcomes"/>
  </r>
  <r>
    <n v="330238"/>
    <s v="Nicholas H Noyes Memorial Hospital"/>
    <s v="Dansville"/>
    <x v="1"/>
    <n v="155"/>
    <n v="15156.4"/>
    <n v="0.98860000000000003"/>
    <n v="3"/>
    <n v="0.93"/>
    <n v="18.3"/>
    <b v="1"/>
    <x v="1"/>
    <s v="Excluded (low volume)"/>
  </r>
  <r>
    <n v="330331"/>
    <s v="Plainview Hospital"/>
    <s v="Plainview"/>
    <x v="2"/>
    <n v="3043"/>
    <n v="15104.48"/>
    <n v="0.99639999999999995"/>
    <n v="3"/>
    <n v="0.93"/>
    <n v="13.4"/>
    <b v="1"/>
    <x v="0"/>
    <s v="Good outcomes"/>
  </r>
  <r>
    <n v="330208"/>
    <s v="St John's Riverside Hospital"/>
    <s v="Yonkers"/>
    <x v="2"/>
    <n v="1873"/>
    <n v="14966.63"/>
    <n v="1.0043"/>
    <n v="3"/>
    <n v="0.86"/>
    <n v="15.3"/>
    <b v="1"/>
    <x v="0"/>
    <s v="Poor outcomes"/>
  </r>
  <r>
    <n v="330096"/>
    <s v="Jones Memorial Hospital"/>
    <s v="Wellsville"/>
    <x v="1"/>
    <n v="221"/>
    <n v="14941.64"/>
    <n v="0.95379999999999998"/>
    <n v="3"/>
    <n v="1.1100000000000001"/>
    <n v="12.9"/>
    <b v="1"/>
    <x v="1"/>
    <s v="Excluded (low volume)"/>
  </r>
  <r>
    <n v="330104"/>
    <s v="Nyack Hospital"/>
    <s v="Nyack"/>
    <x v="2"/>
    <n v="2548"/>
    <n v="14792.25"/>
    <n v="1.0805"/>
    <n v="2"/>
    <n v="0.81"/>
    <n v="15"/>
    <b v="1"/>
    <x v="0"/>
    <s v="Poor outcomes"/>
  </r>
  <r>
    <n v="330307"/>
    <s v="Cayuga Medical Center At Ithaca"/>
    <s v="Ithaca"/>
    <x v="1"/>
    <n v="717"/>
    <n v="14791.79"/>
    <n v="0.96209999999999996"/>
    <n v="3"/>
    <n v="0.96"/>
    <n v="20.6"/>
    <b v="1"/>
    <x v="0"/>
    <s v="Good outcomes"/>
  </r>
  <r>
    <n v="330180"/>
    <s v="Samaritan Hospital"/>
    <s v="Troy"/>
    <x v="1"/>
    <n v="1446"/>
    <n v="14670.3"/>
    <n v="0.92630000000000001"/>
    <n v="3"/>
    <n v="0.94"/>
    <n v="12.1"/>
    <b v="1"/>
    <x v="0"/>
    <s v="Good outcomes"/>
  </r>
  <r>
    <n v="330215"/>
    <s v="Rome Memorial Hospital, Inc"/>
    <s v="Rome"/>
    <x v="1"/>
    <n v="463"/>
    <n v="14660.45"/>
    <n v="1.0206999999999999"/>
    <n v="2"/>
    <n v="0.96"/>
    <n v="19.8"/>
    <b v="1"/>
    <x v="1"/>
    <s v="Excluded (low volume)"/>
  </r>
  <r>
    <n v="330045"/>
    <s v="Huntington Hospital"/>
    <s v="Huntington"/>
    <x v="2"/>
    <n v="5970"/>
    <n v="14642.59"/>
    <n v="0.97340000000000004"/>
    <n v="4"/>
    <n v="0.75"/>
    <n v="11.4"/>
    <b v="1"/>
    <x v="0"/>
    <s v="Good outcomes"/>
  </r>
  <r>
    <n v="330086"/>
    <s v="Montefiore Mount Vernon Hospital"/>
    <s v="Mount Vernon"/>
    <x v="2"/>
    <n v="107"/>
    <n v="14479.8"/>
    <n v="0.96899999999999997"/>
    <n v="2"/>
    <n v="0.97"/>
    <n v="15.2"/>
    <b v="0"/>
    <x v="1"/>
    <s v="Excluded (low volume)"/>
  </r>
  <r>
    <n v="330044"/>
    <s v="Wynn Hospital"/>
    <s v="Utica"/>
    <x v="1"/>
    <n v="3533"/>
    <n v="14475.32"/>
    <n v="1.0137"/>
    <n v="2"/>
    <n v="1.5"/>
    <n v="21.2"/>
    <b v="1"/>
    <x v="0"/>
    <s v="Poor outcomes"/>
  </r>
  <r>
    <n v="330019"/>
    <s v="New York Community Hospital Of Brooklyn, Inc."/>
    <s v="Brooklyn"/>
    <x v="0"/>
    <n v="2226"/>
    <n v="14384.17"/>
    <n v="1.1778"/>
    <n v="1"/>
    <n v="1.07"/>
    <n v="16.899999999999999"/>
    <b v="1"/>
    <x v="0"/>
    <s v="Poor outcomes"/>
  </r>
  <r>
    <n v="330011"/>
    <s v="Our Lady Of Lourdes Memorial Hospital, Inc"/>
    <s v="Binghamton"/>
    <x v="1"/>
    <n v="986"/>
    <n v="14205.84"/>
    <n v="1.0263"/>
    <n v="2"/>
    <n v="1.5"/>
    <n v="13.1"/>
    <b v="1"/>
    <x v="0"/>
    <s v="Poor outcomes"/>
  </r>
  <r>
    <n v="330162"/>
    <s v="Northern Westchester Hospital"/>
    <s v="Mount Kisco"/>
    <x v="2"/>
    <n v="1658"/>
    <n v="14052.52"/>
    <n v="1.0221"/>
    <n v="4"/>
    <n v="0.86"/>
    <n v="14.5"/>
    <b v="1"/>
    <x v="0"/>
    <s v="Poor outcomes"/>
  </r>
  <r>
    <n v="330102"/>
    <s v="Kenmore Mercy Hospital"/>
    <s v="Kenmore"/>
    <x v="1"/>
    <n v="570"/>
    <n v="14028.54"/>
    <n v="1.0288999999999999"/>
    <n v="4"/>
    <n v="0.95"/>
    <n v="18.5"/>
    <b v="1"/>
    <x v="0"/>
    <s v="Poor outcomes"/>
  </r>
  <r>
    <n v="330107"/>
    <s v="Peconic Bay Medical Center"/>
    <s v="Riverhead"/>
    <x v="2"/>
    <n v="3478"/>
    <n v="13948.19"/>
    <n v="0.99299999999999999"/>
    <n v="3"/>
    <n v="1.02"/>
    <n v="15.3"/>
    <b v="1"/>
    <x v="0"/>
    <s v="Good outcomes"/>
  </r>
  <r>
    <n v="330229"/>
    <s v="Brooks-Tlc Hospital System, Inc"/>
    <s v="Dunkirk"/>
    <x v="1"/>
    <n v="109"/>
    <n v="13881.06"/>
    <n v="0.996"/>
    <n v="4"/>
    <n v="0.97"/>
    <n v="16.399999999999999"/>
    <b v="1"/>
    <x v="1"/>
    <s v="Excluded (low volume)"/>
  </r>
  <r>
    <n v="330264"/>
    <s v="St Luke's Cornwall Hospital"/>
    <s v="Newburgh"/>
    <x v="1"/>
    <n v="1579"/>
    <n v="13845.99"/>
    <n v="1.0398000000000001"/>
    <n v="3"/>
    <n v="1.1000000000000001"/>
    <n v="17.899999999999999"/>
    <b v="1"/>
    <x v="0"/>
    <s v="Poor outcomes"/>
  </r>
  <r>
    <n v="330267"/>
    <s v="Hudson Valley Hospital Center"/>
    <s v="Cortlandt Manor"/>
    <x v="2"/>
    <n v="2126"/>
    <n v="13804.5"/>
    <n v="0.93010000000000004"/>
    <n v="4"/>
    <n v="0.96"/>
    <n v="14"/>
    <b v="1"/>
    <x v="0"/>
    <s v="Good outcomes"/>
  </r>
  <r>
    <n v="330246"/>
    <s v="St Charles Hospital"/>
    <s v="Port Jefferson"/>
    <x v="2"/>
    <n v="1409"/>
    <n v="13760.96"/>
    <n v="0.90090000000000003"/>
    <n v="3"/>
    <n v="0.89"/>
    <n v="12.3"/>
    <b v="1"/>
    <x v="0"/>
    <s v="Good outcomes"/>
  </r>
  <r>
    <n v="330226"/>
    <s v="Unity Hospital Of Rochester"/>
    <s v="Rochester"/>
    <x v="1"/>
    <n v="1598"/>
    <n v="13752.57"/>
    <n v="1.1007"/>
    <n v="2"/>
    <n v="1.06"/>
    <n v="15.9"/>
    <b v="1"/>
    <x v="0"/>
    <s v="Poor outcomes"/>
  </r>
  <r>
    <n v="330386"/>
    <s v="Garnet Health  Medical Center Catskills"/>
    <s v="Harris"/>
    <x v="1"/>
    <n v="577"/>
    <n v="13697.53"/>
    <n v="1.0092000000000001"/>
    <n v="2"/>
    <n v="0.92"/>
    <n v="16.100000000000001"/>
    <b v="1"/>
    <x v="0"/>
    <s v="Poor outcomes"/>
  </r>
  <r>
    <n v="330211"/>
    <s v="Claxton-Hepburn Medical Center"/>
    <s v="Ogdensburg"/>
    <x v="1"/>
    <n v="143"/>
    <n v="13489.17"/>
    <m/>
    <m/>
    <m/>
    <m/>
    <m/>
    <x v="1"/>
    <s v="Excluded (low volume)"/>
  </r>
  <r>
    <n v="330065"/>
    <s v="Niagara Falls Memorial Medical Center"/>
    <s v="Niagara Falls"/>
    <x v="1"/>
    <n v="126"/>
    <n v="13418.55"/>
    <n v="1.0071000000000001"/>
    <n v="2"/>
    <n v="1.24"/>
    <n v="17.100000000000001"/>
    <b v="1"/>
    <x v="1"/>
    <s v="Excluded (low volume)"/>
  </r>
  <r>
    <n v="330276"/>
    <s v="Nathan Littauer Hospital"/>
    <s v="Gloversville"/>
    <x v="1"/>
    <n v="216"/>
    <n v="13218.03"/>
    <n v="0.98939999999999995"/>
    <n v="3"/>
    <n v="1.27"/>
    <n v="19.8"/>
    <b v="1"/>
    <x v="1"/>
    <s v="Excluded (low volume)"/>
  </r>
  <r>
    <n v="330222"/>
    <s v="Saratoga Hospital"/>
    <s v="Saratoga Springs"/>
    <x v="1"/>
    <n v="1581"/>
    <n v="13210.68"/>
    <n v="0.99309999999999998"/>
    <n v="4"/>
    <n v="1.08"/>
    <n v="13.5"/>
    <b v="1"/>
    <x v="0"/>
    <s v="Good outcomes"/>
  </r>
  <r>
    <n v="330085"/>
    <s v="Aurelia Osborn Fox Memorial Hospital"/>
    <s v="Oneonta"/>
    <x v="1"/>
    <n v="406"/>
    <n v="13173.35"/>
    <n v="1.0159"/>
    <n v="3"/>
    <n v="0.94"/>
    <n v="13.5"/>
    <b v="1"/>
    <x v="1"/>
    <s v="Excluded (low volume)"/>
  </r>
  <r>
    <n v="330218"/>
    <s v="Oswego Hospital"/>
    <s v="Oswego"/>
    <x v="1"/>
    <n v="421"/>
    <n v="12979.21"/>
    <n v="1.0284"/>
    <n v="4"/>
    <n v="1.25"/>
    <n v="20.7"/>
    <b v="1"/>
    <x v="1"/>
    <s v="Excluded (low volume)"/>
  </r>
  <r>
    <n v="330073"/>
    <s v="United Memorial Medical Center"/>
    <s v="Batavia"/>
    <x v="1"/>
    <n v="379"/>
    <n v="12902.41"/>
    <n v="1.0490999999999999"/>
    <n v="3"/>
    <n v="0.9"/>
    <n v="13.5"/>
    <b v="1"/>
    <x v="1"/>
    <s v="Excluded (low volume)"/>
  </r>
  <r>
    <n v="330058"/>
    <s v="Geneva General Hospital"/>
    <s v="Geneva"/>
    <x v="1"/>
    <n v="385"/>
    <n v="12853.09"/>
    <n v="1.0087999999999999"/>
    <n v="2"/>
    <n v="1.1499999999999999"/>
    <n v="19.899999999999999"/>
    <b v="1"/>
    <x v="1"/>
    <s v="Excluded (low volume)"/>
  </r>
  <r>
    <n v="330047"/>
    <s v="St Mary's Healthcare"/>
    <s v="Amsterdam"/>
    <x v="1"/>
    <n v="349"/>
    <n v="12732.39"/>
    <n v="1.0064"/>
    <n v="3"/>
    <n v="1.04"/>
    <n v="13.3"/>
    <b v="1"/>
    <x v="1"/>
    <s v="Excluded (low volume)"/>
  </r>
  <r>
    <n v="330094"/>
    <s v="Columbia Memorial Hospital"/>
    <s v="Hudson"/>
    <x v="1"/>
    <n v="592"/>
    <n v="12730.01"/>
    <n v="1.0064"/>
    <n v="2"/>
    <n v="2.17"/>
    <n v="16.399999999999999"/>
    <b v="1"/>
    <x v="0"/>
    <s v="Poor outcomes"/>
  </r>
  <r>
    <n v="330332"/>
    <s v="St Joseph Hospital"/>
    <s v="Bethpage"/>
    <x v="2"/>
    <n v="2317"/>
    <n v="12629.84"/>
    <n v="0.9879"/>
    <n v="3"/>
    <n v="1.1200000000000001"/>
    <n v="18.3"/>
    <b v="1"/>
    <x v="0"/>
    <s v="Good outcomes"/>
  </r>
  <r>
    <n v="330188"/>
    <s v="Mount St Mary's Hospital And Health Center"/>
    <s v="Lewiston"/>
    <x v="1"/>
    <n v="364"/>
    <n v="12551.84"/>
    <n v="1.0543"/>
    <n v="4"/>
    <n v="0.98"/>
    <n v="19.5"/>
    <b v="1"/>
    <x v="1"/>
    <s v="Excluded (low volume)"/>
  </r>
  <r>
    <n v="330191"/>
    <s v="Glens Falls Hospital"/>
    <s v="Glens Falls"/>
    <x v="1"/>
    <n v="1782"/>
    <n v="12508.69"/>
    <n v="0.97340000000000004"/>
    <n v="3"/>
    <n v="1.38"/>
    <n v="17.3"/>
    <b v="1"/>
    <x v="0"/>
    <s v="Good outcomes"/>
  </r>
  <r>
    <n v="330224"/>
    <s v="Healthalliance Hospital Marys Avenue Campus"/>
    <s v="Kingston"/>
    <x v="1"/>
    <n v="1683"/>
    <n v="12480.19"/>
    <n v="1.0405"/>
    <n v="1"/>
    <n v="1.1100000000000001"/>
    <n v="16.8"/>
    <b v="1"/>
    <x v="0"/>
    <s v="Poor outcomes"/>
  </r>
  <r>
    <n v="330273"/>
    <s v="Putnam Hospital Center"/>
    <s v="Carmel"/>
    <x v="2"/>
    <n v="732"/>
    <n v="12407.13"/>
    <n v="0.96789999999999998"/>
    <n v="4"/>
    <n v="0.88"/>
    <n v="13"/>
    <b v="1"/>
    <x v="0"/>
    <s v="Good outcomes"/>
  </r>
  <r>
    <n v="330103"/>
    <s v="Olean General Hospital"/>
    <s v="Olean"/>
    <x v="1"/>
    <n v="831"/>
    <n v="12177.62"/>
    <n v="1.0170999999999999"/>
    <n v="2"/>
    <n v="0.94"/>
    <n v="23.2"/>
    <b v="1"/>
    <x v="0"/>
    <s v="Poor outcomes"/>
  </r>
  <r>
    <n v="330197"/>
    <s v="Canton-Potsdam Hospital"/>
    <s v="Potsdam"/>
    <x v="1"/>
    <n v="658"/>
    <n v="12035.48"/>
    <n v="1.0234000000000001"/>
    <n v="4"/>
    <n v="1.18"/>
    <n v="21.2"/>
    <b v="1"/>
    <x v="0"/>
    <s v="Poor outcomes"/>
  </r>
  <r>
    <n v="330401"/>
    <s v="St Catherine Of Siena Hospital Medical Center"/>
    <s v="Smithtown"/>
    <x v="2"/>
    <n v="3290"/>
    <n v="12006.31"/>
    <n v="0.88980000000000004"/>
    <n v="3"/>
    <n v="0.7"/>
    <n v="16"/>
    <b v="1"/>
    <x v="0"/>
    <s v="Good outcomes"/>
  </r>
  <r>
    <n v="330175"/>
    <s v="Guthrie Cortland Regional Medical Center"/>
    <s v="Cortland"/>
    <x v="1"/>
    <n v="445"/>
    <n v="11989.19"/>
    <n v="1.026"/>
    <n v="2"/>
    <n v="0.92"/>
    <n v="12.3"/>
    <b v="1"/>
    <x v="1"/>
    <s v="Excluded (low volume)"/>
  </r>
  <r>
    <n v="330135"/>
    <s v="Bon Secours Community Hospital"/>
    <s v="Port Jervis"/>
    <x v="1"/>
    <n v="454"/>
    <n v="11731.56"/>
    <n v="1.032"/>
    <n v="3"/>
    <n v="0.93"/>
    <n v="15.9"/>
    <b v="1"/>
    <x v="1"/>
    <s v="Excluded (low volume)"/>
  </r>
  <r>
    <n v="330205"/>
    <s v="St Anthony Community Hospital"/>
    <s v="Warwick"/>
    <x v="2"/>
    <n v="280"/>
    <n v="11680.63"/>
    <n v="0.93989999999999996"/>
    <n v="3"/>
    <n v="0.92"/>
    <n v="16.3"/>
    <b v="1"/>
    <x v="1"/>
    <s v="Excluded (low volume)"/>
  </r>
  <r>
    <n v="330074"/>
    <s v="F F Thompson Hospital"/>
    <s v="Canandaigua"/>
    <x v="1"/>
    <n v="393"/>
    <n v="11466.64"/>
    <n v="1.0713999999999999"/>
    <n v="3"/>
    <n v="0.98"/>
    <n v="15.4"/>
    <b v="1"/>
    <x v="1"/>
    <s v="Excluded (low volume)"/>
  </r>
  <r>
    <n v="330265"/>
    <s v="Clifton Springs Hospital And Clinic"/>
    <s v="Clifton Springs"/>
    <x v="1"/>
    <n v="105"/>
    <n v="11466.42"/>
    <n v="1.0522"/>
    <n v="3"/>
    <n v="1.25"/>
    <n v="15.6"/>
    <b v="0"/>
    <x v="1"/>
    <s v="Excluded (low volume)"/>
  </r>
  <r>
    <n v="330235"/>
    <s v="Auburn  Community  Hospital"/>
    <s v="Auburn"/>
    <x v="1"/>
    <n v="834"/>
    <n v="11367.19"/>
    <n v="1.0783"/>
    <n v="2"/>
    <n v="1.05"/>
    <n v="15.9"/>
    <b v="1"/>
    <x v="0"/>
    <s v="Poor outcomes"/>
  </r>
  <r>
    <n v="330406"/>
    <s v="Sunnyview Hospital And Rehabilitation Center"/>
    <s v="Schenectady"/>
    <x v="1"/>
    <n v="218"/>
    <n v="11365.36"/>
    <m/>
    <m/>
    <m/>
    <m/>
    <m/>
    <x v="1"/>
    <s v="Excluded (low volume)"/>
  </r>
  <r>
    <n v="330277"/>
    <s v="Corning Hospital"/>
    <s v="Corning"/>
    <x v="1"/>
    <n v="601"/>
    <n v="11351.03"/>
    <n v="1.0287999999999999"/>
    <n v="3"/>
    <n v="1.1499999999999999"/>
    <n v="18.7"/>
    <b v="1"/>
    <x v="0"/>
    <s v="Poor outcomes"/>
  </r>
  <r>
    <n v="330239"/>
    <s v="Upmc Chautauqua At Wca"/>
    <s v="Jamestown"/>
    <x v="1"/>
    <n v="571"/>
    <n v="11224.06"/>
    <n v="0.99490000000000001"/>
    <n v="3"/>
    <n v="0.89"/>
    <n v="17.5"/>
    <b v="1"/>
    <x v="0"/>
    <s v="Good outcomes"/>
  </r>
  <r>
    <n v="330030"/>
    <s v="Newark-Wayne Community Hospital"/>
    <s v="Newark"/>
    <x v="1"/>
    <n v="430"/>
    <n v="10688.8"/>
    <n v="1.0921000000000001"/>
    <n v="3"/>
    <n v="1.1200000000000001"/>
    <n v="13.3"/>
    <b v="1"/>
    <x v="1"/>
    <s v="Excluded (low volume)"/>
  </r>
  <r>
    <n v="330111"/>
    <s v="Bertrand Chaffee Hospital"/>
    <s v="Springville"/>
    <x v="1"/>
    <n v="32"/>
    <n v="10230.530000000001"/>
    <n v="0.99470000000000003"/>
    <n v="3"/>
    <n v="0.99"/>
    <n v="15.6"/>
    <b v="0"/>
    <x v="1"/>
    <s v="Excluded (low volume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A35F0-87B3-8248-8B2E-4119D60963CF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0" firstDataRow="1" firstDataCol="1" rowPageCount="1" colPageCount="1"/>
  <pivotFields count="13">
    <pivotField dataField="1"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1" hier="-1"/>
  </pageFields>
  <dataFields count="4">
    <dataField name="Avg Payment" fld="5" subtotal="average" baseField="0" baseItem="0" numFmtId="2"/>
    <dataField name="Avg Readmission" fld="6" subtotal="average" baseField="0" baseItem="0" numFmtId="164"/>
    <dataField name="Avg Star" fld="7" subtotal="average" baseField="0" baseItem="0" numFmtId="165"/>
    <dataField name="Hospitals" fld="0" subtotal="count" baseField="0" baseItem="0"/>
  </dataFields>
  <conditionalFormats count="1">
    <conditionalFormat priority="6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3" count="3">
              <x v="0"/>
              <x v="1"/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0F1B8F7-CBF6-2744-AAC2-71CFE2C21D02}" autoFormatId="16" applyNumberFormats="0" applyBorderFormats="0" applyFontFormats="0" applyPatternFormats="0" applyAlignmentFormats="0" applyWidthHeightFormats="0">
  <queryTableRefresh nextId="14">
    <queryTableFields count="13">
      <queryTableField id="1" name="ccn" tableColumnId="1"/>
      <queryTableField id="2" name="hospital_name" tableColumnId="2"/>
      <queryTableField id="3" name="city" tableColumnId="3"/>
      <queryTableField id="4" name="region" tableColumnId="4"/>
      <queryTableField id="5" name="total_discharges" tableColumnId="5"/>
      <queryTableField id="6" name="avg_payment_per_discharge" tableColumnId="6"/>
      <queryTableField id="7" name="readmission_ratio" tableColumnId="7"/>
      <queryTableField id="8" name="patient_satisfaction_star" tableColumnId="8"/>
      <queryTableField id="9" name="patient_safety_psi90" tableColumnId="9"/>
      <queryTableField id="10" name="mortality_30_pneumonia" tableColumnId="10"/>
      <queryTableField id="11" name="has_core_readmissions" tableColumnId="11"/>
      <queryTableField id="12" name="is_analytic" tableColumnId="12"/>
      <queryTableField id="13" name="value_flag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14217A-03D6-1541-B1DE-AD822CA97ED7}" name="hospital_cost_quality" displayName="hospital_cost_quality" ref="A1:M126" tableType="queryTable" totalsRowShown="0">
  <autoFilter ref="A1:M126" xr:uid="{8A14217A-03D6-1541-B1DE-AD822CA97ED7}"/>
  <tableColumns count="13">
    <tableColumn id="1" xr3:uid="{0A0685F3-F2CE-0846-9E5F-FD9E790563F3}" uniqueName="1" name="ccn" queryTableFieldId="1"/>
    <tableColumn id="2" xr3:uid="{BD4AD4F7-E50A-DD4E-93CB-F1DBE586A427}" uniqueName="2" name="hospital_name" queryTableFieldId="2" dataDxfId="2"/>
    <tableColumn id="3" xr3:uid="{D33E0A95-8AB4-BA43-8FAB-9FB5EFC94E7F}" uniqueName="3" name="city" queryTableFieldId="3" dataDxfId="1"/>
    <tableColumn id="4" xr3:uid="{7AE8C6B9-678C-B843-BDC0-1F56AB99D583}" uniqueName="4" name="region" queryTableFieldId="4" dataDxfId="0"/>
    <tableColumn id="5" xr3:uid="{03A8ED21-322D-A942-82C5-D763C3A00251}" uniqueName="5" name="total_discharges" queryTableFieldId="5"/>
    <tableColumn id="6" xr3:uid="{3F103CFF-3D5C-A644-B632-2A2698FD8557}" uniqueName="6" name="avg_payment_per_discharge" queryTableFieldId="6"/>
    <tableColumn id="7" xr3:uid="{CF012112-4616-E942-A258-99CE0DA5802B}" uniqueName="7" name="readmission_ratio" queryTableFieldId="7"/>
    <tableColumn id="8" xr3:uid="{AF97251C-22DD-6C4F-9640-9E531BCD9C5C}" uniqueName="8" name="patient_satisfaction_star" queryTableFieldId="8"/>
    <tableColumn id="9" xr3:uid="{189759BA-ADA5-6A4E-8285-3F1FA723411A}" uniqueName="9" name="patient_safety_psi90" queryTableFieldId="9"/>
    <tableColumn id="10" xr3:uid="{65BD9C88-B843-B24E-8F92-989E3073C60D}" uniqueName="10" name="mortality_30_pneumonia" queryTableFieldId="10"/>
    <tableColumn id="11" xr3:uid="{A2238CC8-5706-4042-A79B-86427CD429BD}" uniqueName="11" name="has_core_readmissions" queryTableFieldId="11"/>
    <tableColumn id="12" xr3:uid="{D474F7A3-2FC2-F743-BC02-8DF49E0A9158}" uniqueName="12" name="is_analytic" queryTableFieldId="12"/>
    <tableColumn id="13" xr3:uid="{F1A4612F-4C44-FC4E-9EC4-014202778865}" uniqueName="13" name="value_flag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43B04-CA48-8F4A-86C3-F8EE28A33308}">
  <dimension ref="A1:M126"/>
  <sheetViews>
    <sheetView topLeftCell="A2" workbookViewId="0">
      <selection activeCell="J14" sqref="J14"/>
    </sheetView>
  </sheetViews>
  <sheetFormatPr baseColWidth="10" defaultRowHeight="16" x14ac:dyDescent="0.2"/>
  <cols>
    <col min="1" max="1" width="7.1640625" bestFit="1" customWidth="1"/>
    <col min="2" max="2" width="43.6640625" bestFit="1" customWidth="1"/>
    <col min="3" max="3" width="14.5" bestFit="1" customWidth="1"/>
    <col min="4" max="4" width="16.83203125" bestFit="1" customWidth="1"/>
    <col min="5" max="5" width="17.5" bestFit="1" customWidth="1"/>
    <col min="6" max="6" width="27.33203125" bestFit="1" customWidth="1"/>
    <col min="7" max="7" width="18.83203125" bestFit="1" customWidth="1"/>
    <col min="8" max="8" width="24.83203125" bestFit="1" customWidth="1"/>
    <col min="9" max="9" width="21" bestFit="1" customWidth="1"/>
    <col min="10" max="10" width="24.33203125" bestFit="1" customWidth="1"/>
    <col min="11" max="11" width="23.5" bestFit="1" customWidth="1"/>
    <col min="12" max="12" width="12.5" bestFit="1" customWidth="1"/>
    <col min="13" max="13" width="19.332031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330202</v>
      </c>
      <c r="B2" s="1" t="s">
        <v>13</v>
      </c>
      <c r="C2" s="1" t="s">
        <v>14</v>
      </c>
      <c r="D2" s="1" t="s">
        <v>15</v>
      </c>
      <c r="E2">
        <v>902</v>
      </c>
      <c r="F2">
        <v>58663.8</v>
      </c>
      <c r="G2">
        <v>0.98040000000000005</v>
      </c>
      <c r="H2">
        <v>2</v>
      </c>
      <c r="I2">
        <v>1.18</v>
      </c>
      <c r="J2">
        <v>18.5</v>
      </c>
      <c r="K2" t="b">
        <v>1</v>
      </c>
      <c r="L2" t="b">
        <v>1</v>
      </c>
      <c r="M2" t="s">
        <v>16</v>
      </c>
    </row>
    <row r="3" spans="1:13" x14ac:dyDescent="0.2">
      <c r="A3">
        <v>330204</v>
      </c>
      <c r="B3" s="1" t="s">
        <v>17</v>
      </c>
      <c r="C3" s="1" t="s">
        <v>18</v>
      </c>
      <c r="D3" s="1" t="s">
        <v>15</v>
      </c>
      <c r="E3">
        <v>918</v>
      </c>
      <c r="F3">
        <v>57873.26</v>
      </c>
      <c r="G3">
        <v>1.0059</v>
      </c>
      <c r="H3">
        <v>2</v>
      </c>
      <c r="I3">
        <v>1.1599999999999999</v>
      </c>
      <c r="J3">
        <v>13.9</v>
      </c>
      <c r="K3" t="b">
        <v>1</v>
      </c>
      <c r="L3" t="b">
        <v>1</v>
      </c>
      <c r="M3" t="s">
        <v>19</v>
      </c>
    </row>
    <row r="4" spans="1:13" x14ac:dyDescent="0.2">
      <c r="A4">
        <v>330231</v>
      </c>
      <c r="B4" s="1" t="s">
        <v>20</v>
      </c>
      <c r="C4" s="1" t="s">
        <v>21</v>
      </c>
      <c r="D4" s="1" t="s">
        <v>15</v>
      </c>
      <c r="E4">
        <v>570</v>
      </c>
      <c r="F4">
        <v>56382.92</v>
      </c>
      <c r="G4">
        <v>1.0119</v>
      </c>
      <c r="H4">
        <v>3</v>
      </c>
      <c r="I4">
        <v>0.88</v>
      </c>
      <c r="J4">
        <v>13.7</v>
      </c>
      <c r="K4" t="b">
        <v>1</v>
      </c>
      <c r="L4" t="b">
        <v>1</v>
      </c>
      <c r="M4" t="s">
        <v>19</v>
      </c>
    </row>
    <row r="5" spans="1:13" x14ac:dyDescent="0.2">
      <c r="A5">
        <v>330199</v>
      </c>
      <c r="B5" s="1" t="s">
        <v>22</v>
      </c>
      <c r="C5" s="1" t="s">
        <v>18</v>
      </c>
      <c r="D5" s="1" t="s">
        <v>15</v>
      </c>
      <c r="E5">
        <v>45</v>
      </c>
      <c r="F5">
        <v>56067.4</v>
      </c>
      <c r="G5">
        <v>0.97699999999999998</v>
      </c>
      <c r="H5">
        <v>2</v>
      </c>
      <c r="I5">
        <v>0.93</v>
      </c>
      <c r="J5">
        <v>13.8</v>
      </c>
      <c r="K5" t="b">
        <v>0</v>
      </c>
      <c r="L5" t="b">
        <v>0</v>
      </c>
      <c r="M5" t="s">
        <v>23</v>
      </c>
    </row>
    <row r="6" spans="1:13" x14ac:dyDescent="0.2">
      <c r="A6">
        <v>330396</v>
      </c>
      <c r="B6" s="1" t="s">
        <v>24</v>
      </c>
      <c r="C6" s="1" t="s">
        <v>14</v>
      </c>
      <c r="D6" s="1" t="s">
        <v>15</v>
      </c>
      <c r="E6">
        <v>196</v>
      </c>
      <c r="F6">
        <v>51463.12</v>
      </c>
      <c r="G6">
        <v>1.0246999999999999</v>
      </c>
      <c r="H6">
        <v>2</v>
      </c>
      <c r="I6">
        <v>1.4</v>
      </c>
      <c r="J6">
        <v>17.5</v>
      </c>
      <c r="K6" t="b">
        <v>0</v>
      </c>
      <c r="L6" t="b">
        <v>0</v>
      </c>
      <c r="M6" t="s">
        <v>23</v>
      </c>
    </row>
    <row r="7" spans="1:13" x14ac:dyDescent="0.2">
      <c r="A7">
        <v>330024</v>
      </c>
      <c r="B7" s="1" t="s">
        <v>25</v>
      </c>
      <c r="C7" s="1" t="s">
        <v>18</v>
      </c>
      <c r="D7" s="1" t="s">
        <v>15</v>
      </c>
      <c r="E7">
        <v>9718</v>
      </c>
      <c r="F7">
        <v>42889.51</v>
      </c>
      <c r="G7">
        <v>0.90569999999999995</v>
      </c>
      <c r="H7">
        <v>3</v>
      </c>
      <c r="I7">
        <v>1.03</v>
      </c>
      <c r="J7">
        <v>13.8</v>
      </c>
      <c r="K7" t="b">
        <v>1</v>
      </c>
      <c r="L7" t="b">
        <v>1</v>
      </c>
      <c r="M7" t="s">
        <v>16</v>
      </c>
    </row>
    <row r="8" spans="1:13" x14ac:dyDescent="0.2">
      <c r="A8">
        <v>330240</v>
      </c>
      <c r="B8" s="1" t="s">
        <v>26</v>
      </c>
      <c r="C8" s="1" t="s">
        <v>18</v>
      </c>
      <c r="D8" s="1" t="s">
        <v>15</v>
      </c>
      <c r="E8">
        <v>344</v>
      </c>
      <c r="F8">
        <v>41003.440000000002</v>
      </c>
      <c r="G8">
        <v>1.0424</v>
      </c>
      <c r="H8">
        <v>1</v>
      </c>
      <c r="I8">
        <v>1.01</v>
      </c>
      <c r="J8">
        <v>12.3</v>
      </c>
      <c r="K8" t="b">
        <v>1</v>
      </c>
      <c r="L8" t="b">
        <v>0</v>
      </c>
      <c r="M8" t="s">
        <v>23</v>
      </c>
    </row>
    <row r="9" spans="1:13" x14ac:dyDescent="0.2">
      <c r="A9">
        <v>330101</v>
      </c>
      <c r="B9" s="1" t="s">
        <v>27</v>
      </c>
      <c r="C9" s="1" t="s">
        <v>18</v>
      </c>
      <c r="D9" s="1" t="s">
        <v>15</v>
      </c>
      <c r="E9">
        <v>27689</v>
      </c>
      <c r="F9">
        <v>37525.72</v>
      </c>
      <c r="G9">
        <v>0.90510000000000002</v>
      </c>
      <c r="H9">
        <v>3</v>
      </c>
      <c r="I9">
        <v>0.4</v>
      </c>
      <c r="J9">
        <v>11.6</v>
      </c>
      <c r="K9" t="b">
        <v>1</v>
      </c>
      <c r="L9" t="b">
        <v>1</v>
      </c>
      <c r="M9" t="s">
        <v>16</v>
      </c>
    </row>
    <row r="10" spans="1:13" x14ac:dyDescent="0.2">
      <c r="A10">
        <v>330350</v>
      </c>
      <c r="B10" s="1" t="s">
        <v>28</v>
      </c>
      <c r="C10" s="1" t="s">
        <v>14</v>
      </c>
      <c r="D10" s="1" t="s">
        <v>15</v>
      </c>
      <c r="E10">
        <v>403</v>
      </c>
      <c r="F10">
        <v>37374.07</v>
      </c>
      <c r="G10">
        <v>1.0285</v>
      </c>
      <c r="H10">
        <v>2</v>
      </c>
      <c r="I10">
        <v>1.05</v>
      </c>
      <c r="J10">
        <v>18.3</v>
      </c>
      <c r="K10" t="b">
        <v>0</v>
      </c>
      <c r="L10" t="b">
        <v>0</v>
      </c>
      <c r="M10" t="s">
        <v>23</v>
      </c>
    </row>
    <row r="11" spans="1:13" x14ac:dyDescent="0.2">
      <c r="A11">
        <v>330399</v>
      </c>
      <c r="B11" s="1" t="s">
        <v>29</v>
      </c>
      <c r="C11" s="1" t="s">
        <v>30</v>
      </c>
      <c r="D11" s="1" t="s">
        <v>15</v>
      </c>
      <c r="E11">
        <v>395</v>
      </c>
      <c r="F11">
        <v>36821.919999999998</v>
      </c>
      <c r="G11">
        <v>1.0287999999999999</v>
      </c>
      <c r="H11">
        <v>2</v>
      </c>
      <c r="I11">
        <v>1.28</v>
      </c>
      <c r="J11">
        <v>16.899999999999999</v>
      </c>
      <c r="K11" t="b">
        <v>0</v>
      </c>
      <c r="L11" t="b">
        <v>0</v>
      </c>
      <c r="M11" t="s">
        <v>23</v>
      </c>
    </row>
    <row r="12" spans="1:13" x14ac:dyDescent="0.2">
      <c r="A12">
        <v>330270</v>
      </c>
      <c r="B12" s="1" t="s">
        <v>31</v>
      </c>
      <c r="C12" s="1" t="s">
        <v>18</v>
      </c>
      <c r="D12" s="1" t="s">
        <v>15</v>
      </c>
      <c r="E12">
        <v>3230</v>
      </c>
      <c r="F12">
        <v>36222.620000000003</v>
      </c>
      <c r="G12">
        <v>0.67379999999999995</v>
      </c>
      <c r="H12">
        <v>4</v>
      </c>
      <c r="I12">
        <v>0.62</v>
      </c>
      <c r="K12" t="b">
        <v>0</v>
      </c>
      <c r="L12" t="b">
        <v>0</v>
      </c>
      <c r="M12" t="s">
        <v>23</v>
      </c>
    </row>
    <row r="13" spans="1:13" x14ac:dyDescent="0.2">
      <c r="A13">
        <v>330285</v>
      </c>
      <c r="B13" s="1" t="s">
        <v>32</v>
      </c>
      <c r="C13" s="1" t="s">
        <v>33</v>
      </c>
      <c r="D13" s="1" t="s">
        <v>34</v>
      </c>
      <c r="E13">
        <v>4088</v>
      </c>
      <c r="F13">
        <v>36175.53</v>
      </c>
      <c r="G13">
        <v>0.95830000000000004</v>
      </c>
      <c r="H13">
        <v>3</v>
      </c>
      <c r="I13">
        <v>1.33</v>
      </c>
      <c r="J13">
        <v>12.4</v>
      </c>
      <c r="K13" t="b">
        <v>1</v>
      </c>
      <c r="L13" t="b">
        <v>1</v>
      </c>
      <c r="M13" t="s">
        <v>16</v>
      </c>
    </row>
    <row r="14" spans="1:13" x14ac:dyDescent="0.2">
      <c r="A14">
        <v>330128</v>
      </c>
      <c r="B14" s="1" t="s">
        <v>35</v>
      </c>
      <c r="C14" s="1" t="s">
        <v>36</v>
      </c>
      <c r="D14" s="1" t="s">
        <v>15</v>
      </c>
      <c r="E14">
        <v>1022</v>
      </c>
      <c r="F14">
        <v>35986.980000000003</v>
      </c>
      <c r="G14">
        <v>0.97989999999999999</v>
      </c>
      <c r="H14">
        <v>2</v>
      </c>
      <c r="I14">
        <v>1.1299999999999999</v>
      </c>
      <c r="J14">
        <v>15.5</v>
      </c>
      <c r="K14" t="b">
        <v>1</v>
      </c>
      <c r="L14" t="b">
        <v>1</v>
      </c>
      <c r="M14" t="s">
        <v>16</v>
      </c>
    </row>
    <row r="15" spans="1:13" x14ac:dyDescent="0.2">
      <c r="A15">
        <v>330080</v>
      </c>
      <c r="B15" s="1" t="s">
        <v>37</v>
      </c>
      <c r="C15" s="1" t="s">
        <v>30</v>
      </c>
      <c r="D15" s="1" t="s">
        <v>15</v>
      </c>
      <c r="E15">
        <v>330</v>
      </c>
      <c r="F15">
        <v>35369.94</v>
      </c>
      <c r="G15">
        <v>0.98060000000000003</v>
      </c>
      <c r="H15">
        <v>2</v>
      </c>
      <c r="I15">
        <v>0.94</v>
      </c>
      <c r="J15">
        <v>17.8</v>
      </c>
      <c r="K15" t="b">
        <v>0</v>
      </c>
      <c r="L15" t="b">
        <v>0</v>
      </c>
      <c r="M15" t="s">
        <v>23</v>
      </c>
    </row>
    <row r="16" spans="1:13" x14ac:dyDescent="0.2">
      <c r="A16">
        <v>330127</v>
      </c>
      <c r="B16" s="1" t="s">
        <v>38</v>
      </c>
      <c r="C16" s="1" t="s">
        <v>30</v>
      </c>
      <c r="D16" s="1" t="s">
        <v>15</v>
      </c>
      <c r="E16">
        <v>1771</v>
      </c>
      <c r="F16">
        <v>35262.089999999997</v>
      </c>
      <c r="G16">
        <v>1.0097</v>
      </c>
      <c r="H16">
        <v>2</v>
      </c>
      <c r="I16">
        <v>1.1399999999999999</v>
      </c>
      <c r="J16">
        <v>15.7</v>
      </c>
      <c r="K16" t="b">
        <v>1</v>
      </c>
      <c r="L16" t="b">
        <v>1</v>
      </c>
      <c r="M16" t="s">
        <v>19</v>
      </c>
    </row>
    <row r="17" spans="1:13" x14ac:dyDescent="0.2">
      <c r="A17">
        <v>330059</v>
      </c>
      <c r="B17" s="1" t="s">
        <v>39</v>
      </c>
      <c r="C17" s="1" t="s">
        <v>30</v>
      </c>
      <c r="D17" s="1" t="s">
        <v>15</v>
      </c>
      <c r="E17">
        <v>9060</v>
      </c>
      <c r="F17">
        <v>33416.870000000003</v>
      </c>
      <c r="G17">
        <v>1.0363</v>
      </c>
      <c r="H17">
        <v>2</v>
      </c>
      <c r="I17">
        <v>1.23</v>
      </c>
      <c r="J17">
        <v>10.8</v>
      </c>
      <c r="K17" t="b">
        <v>1</v>
      </c>
      <c r="L17" t="b">
        <v>1</v>
      </c>
      <c r="M17" t="s">
        <v>19</v>
      </c>
    </row>
    <row r="18" spans="1:13" x14ac:dyDescent="0.2">
      <c r="A18">
        <v>330214</v>
      </c>
      <c r="B18" s="1" t="s">
        <v>40</v>
      </c>
      <c r="C18" s="1" t="s">
        <v>18</v>
      </c>
      <c r="D18" s="1" t="s">
        <v>15</v>
      </c>
      <c r="E18">
        <v>26286</v>
      </c>
      <c r="F18">
        <v>32594.1</v>
      </c>
      <c r="G18">
        <v>0.85599999999999998</v>
      </c>
      <c r="H18">
        <v>3</v>
      </c>
      <c r="I18">
        <v>0.67</v>
      </c>
      <c r="J18">
        <v>8.8000000000000007</v>
      </c>
      <c r="K18" t="b">
        <v>1</v>
      </c>
      <c r="L18" t="b">
        <v>1</v>
      </c>
      <c r="M18" t="s">
        <v>16</v>
      </c>
    </row>
    <row r="19" spans="1:13" x14ac:dyDescent="0.2">
      <c r="A19">
        <v>330009</v>
      </c>
      <c r="B19" s="1" t="s">
        <v>41</v>
      </c>
      <c r="C19" s="1" t="s">
        <v>30</v>
      </c>
      <c r="D19" s="1" t="s">
        <v>15</v>
      </c>
      <c r="E19">
        <v>824</v>
      </c>
      <c r="F19">
        <v>32182.89</v>
      </c>
      <c r="G19">
        <v>1.0892999999999999</v>
      </c>
      <c r="H19">
        <v>2</v>
      </c>
      <c r="I19">
        <v>0.89</v>
      </c>
      <c r="J19">
        <v>13.8</v>
      </c>
      <c r="K19" t="b">
        <v>1</v>
      </c>
      <c r="L19" t="b">
        <v>1</v>
      </c>
      <c r="M19" t="s">
        <v>19</v>
      </c>
    </row>
    <row r="20" spans="1:13" x14ac:dyDescent="0.2">
      <c r="A20">
        <v>330194</v>
      </c>
      <c r="B20" s="1" t="s">
        <v>42</v>
      </c>
      <c r="C20" s="1" t="s">
        <v>14</v>
      </c>
      <c r="D20" s="1" t="s">
        <v>15</v>
      </c>
      <c r="E20">
        <v>5865</v>
      </c>
      <c r="F20">
        <v>32040.34</v>
      </c>
      <c r="G20">
        <v>1.0895999999999999</v>
      </c>
      <c r="H20">
        <v>2</v>
      </c>
      <c r="I20">
        <v>0.9</v>
      </c>
      <c r="J20">
        <v>13.1</v>
      </c>
      <c r="K20" t="b">
        <v>1</v>
      </c>
      <c r="L20" t="b">
        <v>1</v>
      </c>
      <c r="M20" t="s">
        <v>19</v>
      </c>
    </row>
    <row r="21" spans="1:13" x14ac:dyDescent="0.2">
      <c r="A21">
        <v>330119</v>
      </c>
      <c r="B21" s="1" t="s">
        <v>43</v>
      </c>
      <c r="C21" s="1" t="s">
        <v>18</v>
      </c>
      <c r="D21" s="1" t="s">
        <v>15</v>
      </c>
      <c r="E21">
        <v>4039</v>
      </c>
      <c r="F21">
        <v>30150.12</v>
      </c>
      <c r="G21">
        <v>0.93620000000000003</v>
      </c>
      <c r="H21">
        <v>2</v>
      </c>
      <c r="I21">
        <v>0.96</v>
      </c>
      <c r="J21">
        <v>13.7</v>
      </c>
      <c r="K21" t="b">
        <v>1</v>
      </c>
      <c r="L21" t="b">
        <v>1</v>
      </c>
      <c r="M21" t="s">
        <v>16</v>
      </c>
    </row>
    <row r="22" spans="1:13" x14ac:dyDescent="0.2">
      <c r="A22">
        <v>330234</v>
      </c>
      <c r="B22" s="1" t="s">
        <v>44</v>
      </c>
      <c r="C22" s="1" t="s">
        <v>45</v>
      </c>
      <c r="D22" s="1" t="s">
        <v>46</v>
      </c>
      <c r="E22">
        <v>4024</v>
      </c>
      <c r="F22">
        <v>29596.86</v>
      </c>
      <c r="G22">
        <v>0.96279999999999999</v>
      </c>
      <c r="H22">
        <v>2</v>
      </c>
      <c r="I22">
        <v>1.22</v>
      </c>
      <c r="J22">
        <v>17</v>
      </c>
      <c r="K22" t="b">
        <v>1</v>
      </c>
      <c r="L22" t="b">
        <v>1</v>
      </c>
      <c r="M22" t="s">
        <v>16</v>
      </c>
    </row>
    <row r="23" spans="1:13" x14ac:dyDescent="0.2">
      <c r="A23">
        <v>330056</v>
      </c>
      <c r="B23" s="1" t="s">
        <v>47</v>
      </c>
      <c r="C23" s="1" t="s">
        <v>14</v>
      </c>
      <c r="D23" s="1" t="s">
        <v>15</v>
      </c>
      <c r="E23">
        <v>714</v>
      </c>
      <c r="F23">
        <v>29531.3</v>
      </c>
      <c r="G23">
        <v>1.0456000000000001</v>
      </c>
      <c r="H23">
        <v>2</v>
      </c>
      <c r="I23">
        <v>0.88</v>
      </c>
      <c r="J23">
        <v>19.3</v>
      </c>
      <c r="K23" t="b">
        <v>1</v>
      </c>
      <c r="L23" t="b">
        <v>1</v>
      </c>
      <c r="M23" t="s">
        <v>19</v>
      </c>
    </row>
    <row r="24" spans="1:13" x14ac:dyDescent="0.2">
      <c r="A24">
        <v>330233</v>
      </c>
      <c r="B24" s="1" t="s">
        <v>48</v>
      </c>
      <c r="C24" s="1" t="s">
        <v>14</v>
      </c>
      <c r="D24" s="1" t="s">
        <v>15</v>
      </c>
      <c r="E24">
        <v>1485</v>
      </c>
      <c r="F24">
        <v>28923.119999999999</v>
      </c>
      <c r="G24">
        <v>1.0123</v>
      </c>
      <c r="H24">
        <v>1</v>
      </c>
      <c r="I24">
        <v>1.51</v>
      </c>
      <c r="J24">
        <v>19.2</v>
      </c>
      <c r="K24" t="b">
        <v>1</v>
      </c>
      <c r="L24" t="b">
        <v>1</v>
      </c>
      <c r="M24" t="s">
        <v>19</v>
      </c>
    </row>
    <row r="25" spans="1:13" x14ac:dyDescent="0.2">
      <c r="A25">
        <v>330196</v>
      </c>
      <c r="B25" s="1" t="s">
        <v>49</v>
      </c>
      <c r="C25" s="1" t="s">
        <v>14</v>
      </c>
      <c r="D25" s="1" t="s">
        <v>15</v>
      </c>
      <c r="E25">
        <v>2684</v>
      </c>
      <c r="F25">
        <v>28288.81</v>
      </c>
      <c r="G25">
        <v>1.1079000000000001</v>
      </c>
      <c r="H25">
        <v>2</v>
      </c>
      <c r="I25">
        <v>1.08</v>
      </c>
      <c r="J25">
        <v>15.1</v>
      </c>
      <c r="K25" t="b">
        <v>1</v>
      </c>
      <c r="L25" t="b">
        <v>1</v>
      </c>
      <c r="M25" t="s">
        <v>19</v>
      </c>
    </row>
    <row r="26" spans="1:13" x14ac:dyDescent="0.2">
      <c r="A26">
        <v>330046</v>
      </c>
      <c r="B26" s="1" t="s">
        <v>50</v>
      </c>
      <c r="C26" s="1" t="s">
        <v>18</v>
      </c>
      <c r="D26" s="1" t="s">
        <v>15</v>
      </c>
      <c r="E26">
        <v>4907</v>
      </c>
      <c r="F26">
        <v>27951.52</v>
      </c>
      <c r="G26">
        <v>1.0311999999999999</v>
      </c>
      <c r="H26">
        <v>2</v>
      </c>
      <c r="I26">
        <v>0.92</v>
      </c>
      <c r="J26">
        <v>11.9</v>
      </c>
      <c r="K26" t="b">
        <v>1</v>
      </c>
      <c r="L26" t="b">
        <v>1</v>
      </c>
      <c r="M26" t="s">
        <v>19</v>
      </c>
    </row>
    <row r="27" spans="1:13" x14ac:dyDescent="0.2">
      <c r="A27">
        <v>330193</v>
      </c>
      <c r="B27" s="1" t="s">
        <v>51</v>
      </c>
      <c r="C27" s="1" t="s">
        <v>52</v>
      </c>
      <c r="D27" s="1" t="s">
        <v>15</v>
      </c>
      <c r="E27">
        <v>1226</v>
      </c>
      <c r="F27">
        <v>27894.240000000002</v>
      </c>
      <c r="G27">
        <v>0.99470000000000003</v>
      </c>
      <c r="H27">
        <v>3</v>
      </c>
      <c r="I27">
        <v>1.02</v>
      </c>
      <c r="J27">
        <v>17.899999999999999</v>
      </c>
      <c r="K27" t="b">
        <v>1</v>
      </c>
      <c r="L27" t="b">
        <v>1</v>
      </c>
      <c r="M27" t="s">
        <v>16</v>
      </c>
    </row>
    <row r="28" spans="1:13" x14ac:dyDescent="0.2">
      <c r="A28">
        <v>330013</v>
      </c>
      <c r="B28" s="1" t="s">
        <v>53</v>
      </c>
      <c r="C28" s="1" t="s">
        <v>54</v>
      </c>
      <c r="D28" s="1" t="s">
        <v>34</v>
      </c>
      <c r="E28">
        <v>5638</v>
      </c>
      <c r="F28">
        <v>27422.37</v>
      </c>
      <c r="G28">
        <v>0.95709999999999995</v>
      </c>
      <c r="H28">
        <v>2</v>
      </c>
      <c r="I28">
        <v>1.22</v>
      </c>
      <c r="J28">
        <v>17.5</v>
      </c>
      <c r="K28" t="b">
        <v>1</v>
      </c>
      <c r="L28" t="b">
        <v>1</v>
      </c>
      <c r="M28" t="s">
        <v>16</v>
      </c>
    </row>
    <row r="29" spans="1:13" x14ac:dyDescent="0.2">
      <c r="A29">
        <v>330395</v>
      </c>
      <c r="B29" s="1" t="s">
        <v>55</v>
      </c>
      <c r="C29" s="1" t="s">
        <v>56</v>
      </c>
      <c r="D29" s="1" t="s">
        <v>15</v>
      </c>
      <c r="E29">
        <v>1507</v>
      </c>
      <c r="F29">
        <v>26541.01</v>
      </c>
      <c r="G29">
        <v>1.1635</v>
      </c>
      <c r="H29">
        <v>2</v>
      </c>
      <c r="I29">
        <v>1.26</v>
      </c>
      <c r="J29">
        <v>26.5</v>
      </c>
      <c r="K29" t="b">
        <v>1</v>
      </c>
      <c r="L29" t="b">
        <v>1</v>
      </c>
      <c r="M29" t="s">
        <v>19</v>
      </c>
    </row>
    <row r="30" spans="1:13" x14ac:dyDescent="0.2">
      <c r="A30">
        <v>330014</v>
      </c>
      <c r="B30" s="1" t="s">
        <v>57</v>
      </c>
      <c r="C30" s="1" t="s">
        <v>21</v>
      </c>
      <c r="D30" s="1" t="s">
        <v>15</v>
      </c>
      <c r="E30">
        <v>932</v>
      </c>
      <c r="F30">
        <v>26347.05</v>
      </c>
      <c r="G30">
        <v>1.0579000000000001</v>
      </c>
      <c r="H30">
        <v>2</v>
      </c>
      <c r="I30">
        <v>1.48</v>
      </c>
      <c r="J30">
        <v>15.6</v>
      </c>
      <c r="K30" t="b">
        <v>1</v>
      </c>
      <c r="L30" t="b">
        <v>1</v>
      </c>
      <c r="M30" t="s">
        <v>19</v>
      </c>
    </row>
    <row r="31" spans="1:13" x14ac:dyDescent="0.2">
      <c r="A31">
        <v>330028</v>
      </c>
      <c r="B31" s="1" t="s">
        <v>58</v>
      </c>
      <c r="C31" s="1" t="s">
        <v>59</v>
      </c>
      <c r="D31" s="1" t="s">
        <v>15</v>
      </c>
      <c r="E31">
        <v>1265</v>
      </c>
      <c r="F31">
        <v>26238.240000000002</v>
      </c>
      <c r="G31">
        <v>1.0749</v>
      </c>
      <c r="H31">
        <v>2</v>
      </c>
      <c r="I31">
        <v>1.08</v>
      </c>
      <c r="J31">
        <v>15.2</v>
      </c>
      <c r="K31" t="b">
        <v>1</v>
      </c>
      <c r="L31" t="b">
        <v>1</v>
      </c>
      <c r="M31" t="s">
        <v>19</v>
      </c>
    </row>
    <row r="32" spans="1:13" x14ac:dyDescent="0.2">
      <c r="A32">
        <v>330106</v>
      </c>
      <c r="B32" s="1" t="s">
        <v>60</v>
      </c>
      <c r="C32" s="1" t="s">
        <v>61</v>
      </c>
      <c r="D32" s="1" t="s">
        <v>34</v>
      </c>
      <c r="E32">
        <v>12259</v>
      </c>
      <c r="F32">
        <v>25750.05</v>
      </c>
      <c r="G32">
        <v>0.98580000000000001</v>
      </c>
      <c r="H32">
        <v>3</v>
      </c>
      <c r="I32">
        <v>0.94</v>
      </c>
      <c r="J32">
        <v>11.9</v>
      </c>
      <c r="K32" t="b">
        <v>1</v>
      </c>
      <c r="L32" t="b">
        <v>1</v>
      </c>
      <c r="M32" t="s">
        <v>16</v>
      </c>
    </row>
    <row r="33" spans="1:13" x14ac:dyDescent="0.2">
      <c r="A33">
        <v>330393</v>
      </c>
      <c r="B33" s="1" t="s">
        <v>62</v>
      </c>
      <c r="C33" s="1" t="s">
        <v>63</v>
      </c>
      <c r="D33" s="1" t="s">
        <v>46</v>
      </c>
      <c r="E33">
        <v>13318</v>
      </c>
      <c r="F33">
        <v>24740.28</v>
      </c>
      <c r="G33">
        <v>0.92779999999999996</v>
      </c>
      <c r="H33">
        <v>3</v>
      </c>
      <c r="I33">
        <v>1.06</v>
      </c>
      <c r="J33">
        <v>12.9</v>
      </c>
      <c r="K33" t="b">
        <v>1</v>
      </c>
      <c r="L33" t="b">
        <v>1</v>
      </c>
      <c r="M33" t="s">
        <v>16</v>
      </c>
    </row>
    <row r="34" spans="1:13" x14ac:dyDescent="0.2">
      <c r="A34">
        <v>330005</v>
      </c>
      <c r="B34" s="1" t="s">
        <v>64</v>
      </c>
      <c r="C34" s="1" t="s">
        <v>65</v>
      </c>
      <c r="D34" s="1" t="s">
        <v>34</v>
      </c>
      <c r="E34">
        <v>4764</v>
      </c>
      <c r="F34">
        <v>24079.58</v>
      </c>
      <c r="G34">
        <v>1.0027999999999999</v>
      </c>
      <c r="H34">
        <v>2</v>
      </c>
      <c r="I34">
        <v>1.44</v>
      </c>
      <c r="J34">
        <v>12</v>
      </c>
      <c r="K34" t="b">
        <v>1</v>
      </c>
      <c r="L34" t="b">
        <v>1</v>
      </c>
      <c r="M34" t="s">
        <v>19</v>
      </c>
    </row>
    <row r="35" spans="1:13" x14ac:dyDescent="0.2">
      <c r="A35">
        <v>330055</v>
      </c>
      <c r="B35" s="1" t="s">
        <v>66</v>
      </c>
      <c r="C35" s="1" t="s">
        <v>52</v>
      </c>
      <c r="D35" s="1" t="s">
        <v>15</v>
      </c>
      <c r="E35">
        <v>4779</v>
      </c>
      <c r="F35">
        <v>23869.03</v>
      </c>
      <c r="G35">
        <v>0.93859999999999999</v>
      </c>
      <c r="H35">
        <v>3</v>
      </c>
      <c r="I35">
        <v>0.62</v>
      </c>
      <c r="J35">
        <v>14.3</v>
      </c>
      <c r="K35" t="b">
        <v>1</v>
      </c>
      <c r="L35" t="b">
        <v>1</v>
      </c>
      <c r="M35" t="s">
        <v>16</v>
      </c>
    </row>
    <row r="36" spans="1:13" x14ac:dyDescent="0.2">
      <c r="A36">
        <v>330006</v>
      </c>
      <c r="B36" s="1" t="s">
        <v>67</v>
      </c>
      <c r="C36" s="1" t="s">
        <v>68</v>
      </c>
      <c r="D36" s="1" t="s">
        <v>46</v>
      </c>
      <c r="E36">
        <v>202</v>
      </c>
      <c r="F36">
        <v>23043.16</v>
      </c>
      <c r="G36">
        <v>1.0297000000000001</v>
      </c>
      <c r="H36">
        <v>1</v>
      </c>
      <c r="I36">
        <v>0.91</v>
      </c>
      <c r="J36">
        <v>14.7</v>
      </c>
      <c r="K36" t="b">
        <v>0</v>
      </c>
      <c r="L36" t="b">
        <v>0</v>
      </c>
      <c r="M36" t="s">
        <v>23</v>
      </c>
    </row>
    <row r="37" spans="1:13" x14ac:dyDescent="0.2">
      <c r="A37">
        <v>330023</v>
      </c>
      <c r="B37" s="1" t="s">
        <v>69</v>
      </c>
      <c r="C37" s="1" t="s">
        <v>70</v>
      </c>
      <c r="D37" s="1" t="s">
        <v>34</v>
      </c>
      <c r="E37">
        <v>5764</v>
      </c>
      <c r="F37">
        <v>22952.47</v>
      </c>
      <c r="G37">
        <v>1.0495000000000001</v>
      </c>
      <c r="H37">
        <v>3</v>
      </c>
      <c r="I37">
        <v>1.08</v>
      </c>
      <c r="J37">
        <v>14</v>
      </c>
      <c r="K37" t="b">
        <v>1</v>
      </c>
      <c r="L37" t="b">
        <v>1</v>
      </c>
      <c r="M37" t="s">
        <v>19</v>
      </c>
    </row>
    <row r="38" spans="1:13" x14ac:dyDescent="0.2">
      <c r="A38">
        <v>330241</v>
      </c>
      <c r="B38" s="1" t="s">
        <v>71</v>
      </c>
      <c r="C38" s="1" t="s">
        <v>72</v>
      </c>
      <c r="D38" s="1" t="s">
        <v>34</v>
      </c>
      <c r="E38">
        <v>4413</v>
      </c>
      <c r="F38">
        <v>22620.03</v>
      </c>
      <c r="G38">
        <v>0.96130000000000004</v>
      </c>
      <c r="H38">
        <v>3</v>
      </c>
      <c r="I38">
        <v>1.48</v>
      </c>
      <c r="J38">
        <v>11.8</v>
      </c>
      <c r="K38" t="b">
        <v>1</v>
      </c>
      <c r="L38" t="b">
        <v>1</v>
      </c>
      <c r="M38" t="s">
        <v>16</v>
      </c>
    </row>
    <row r="39" spans="1:13" x14ac:dyDescent="0.2">
      <c r="A39">
        <v>330043</v>
      </c>
      <c r="B39" s="1" t="s">
        <v>73</v>
      </c>
      <c r="C39" s="1" t="s">
        <v>74</v>
      </c>
      <c r="D39" s="1" t="s">
        <v>46</v>
      </c>
      <c r="E39">
        <v>4520</v>
      </c>
      <c r="F39">
        <v>22190.57</v>
      </c>
      <c r="G39">
        <v>0.98960000000000004</v>
      </c>
      <c r="H39">
        <v>3</v>
      </c>
      <c r="I39">
        <v>0.98</v>
      </c>
      <c r="J39">
        <v>14.9</v>
      </c>
      <c r="K39" t="b">
        <v>1</v>
      </c>
      <c r="L39" t="b">
        <v>1</v>
      </c>
      <c r="M39" t="s">
        <v>16</v>
      </c>
    </row>
    <row r="40" spans="1:13" x14ac:dyDescent="0.2">
      <c r="A40">
        <v>330125</v>
      </c>
      <c r="B40" s="1" t="s">
        <v>75</v>
      </c>
      <c r="C40" s="1" t="s">
        <v>33</v>
      </c>
      <c r="D40" s="1" t="s">
        <v>34</v>
      </c>
      <c r="E40">
        <v>2545</v>
      </c>
      <c r="F40">
        <v>22166.21</v>
      </c>
      <c r="G40">
        <v>1.0619000000000001</v>
      </c>
      <c r="H40">
        <v>2</v>
      </c>
      <c r="I40">
        <v>1.75</v>
      </c>
      <c r="J40">
        <v>14.7</v>
      </c>
      <c r="K40" t="b">
        <v>1</v>
      </c>
      <c r="L40" t="b">
        <v>1</v>
      </c>
      <c r="M40" t="s">
        <v>19</v>
      </c>
    </row>
    <row r="41" spans="1:13" x14ac:dyDescent="0.2">
      <c r="A41">
        <v>330160</v>
      </c>
      <c r="B41" s="1" t="s">
        <v>76</v>
      </c>
      <c r="C41" s="1" t="s">
        <v>59</v>
      </c>
      <c r="D41" s="1" t="s">
        <v>15</v>
      </c>
      <c r="E41">
        <v>7127</v>
      </c>
      <c r="F41">
        <v>22156.82</v>
      </c>
      <c r="G41">
        <v>1.0219</v>
      </c>
      <c r="H41">
        <v>2</v>
      </c>
      <c r="I41">
        <v>1.1200000000000001</v>
      </c>
      <c r="J41">
        <v>14.9</v>
      </c>
      <c r="K41" t="b">
        <v>1</v>
      </c>
      <c r="L41" t="b">
        <v>1</v>
      </c>
      <c r="M41" t="s">
        <v>19</v>
      </c>
    </row>
    <row r="42" spans="1:13" x14ac:dyDescent="0.2">
      <c r="A42">
        <v>330140</v>
      </c>
      <c r="B42" s="1" t="s">
        <v>77</v>
      </c>
      <c r="C42" s="1" t="s">
        <v>72</v>
      </c>
      <c r="D42" s="1" t="s">
        <v>34</v>
      </c>
      <c r="E42">
        <v>3097</v>
      </c>
      <c r="F42">
        <v>22143.23</v>
      </c>
      <c r="G42">
        <v>1.0792999999999999</v>
      </c>
      <c r="H42">
        <v>3</v>
      </c>
      <c r="I42">
        <v>1.18</v>
      </c>
      <c r="J42">
        <v>16.899999999999999</v>
      </c>
      <c r="K42" t="b">
        <v>1</v>
      </c>
      <c r="L42" t="b">
        <v>1</v>
      </c>
      <c r="M42" t="s">
        <v>19</v>
      </c>
    </row>
    <row r="43" spans="1:13" x14ac:dyDescent="0.2">
      <c r="A43">
        <v>330195</v>
      </c>
      <c r="B43" s="1" t="s">
        <v>78</v>
      </c>
      <c r="C43" s="1" t="s">
        <v>79</v>
      </c>
      <c r="D43" s="1" t="s">
        <v>34</v>
      </c>
      <c r="E43">
        <v>10061</v>
      </c>
      <c r="F43">
        <v>21814.07</v>
      </c>
      <c r="G43">
        <v>1.0239</v>
      </c>
      <c r="H43">
        <v>3</v>
      </c>
      <c r="I43">
        <v>1.03</v>
      </c>
      <c r="J43">
        <v>14</v>
      </c>
      <c r="K43" t="b">
        <v>1</v>
      </c>
      <c r="L43" t="b">
        <v>1</v>
      </c>
      <c r="M43" t="s">
        <v>19</v>
      </c>
    </row>
    <row r="44" spans="1:13" x14ac:dyDescent="0.2">
      <c r="A44">
        <v>330221</v>
      </c>
      <c r="B44" s="1" t="s">
        <v>80</v>
      </c>
      <c r="C44" s="1" t="s">
        <v>14</v>
      </c>
      <c r="D44" s="1" t="s">
        <v>15</v>
      </c>
      <c r="E44">
        <v>623</v>
      </c>
      <c r="F44">
        <v>21650.65</v>
      </c>
      <c r="G44">
        <v>0.99099999999999999</v>
      </c>
      <c r="H44">
        <v>2</v>
      </c>
      <c r="I44">
        <v>0.97</v>
      </c>
      <c r="J44">
        <v>17.8</v>
      </c>
      <c r="K44" t="b">
        <v>1</v>
      </c>
      <c r="L44" t="b">
        <v>1</v>
      </c>
      <c r="M44" t="s">
        <v>16</v>
      </c>
    </row>
    <row r="45" spans="1:13" x14ac:dyDescent="0.2">
      <c r="A45">
        <v>330184</v>
      </c>
      <c r="B45" s="1" t="s">
        <v>81</v>
      </c>
      <c r="C45" s="1" t="s">
        <v>82</v>
      </c>
      <c r="D45" s="1" t="s">
        <v>46</v>
      </c>
      <c r="E45">
        <v>881</v>
      </c>
      <c r="F45">
        <v>21370.92</v>
      </c>
      <c r="G45">
        <v>1.0318000000000001</v>
      </c>
      <c r="H45">
        <v>2</v>
      </c>
      <c r="I45">
        <v>0.94</v>
      </c>
      <c r="J45">
        <v>21.1</v>
      </c>
      <c r="K45" t="b">
        <v>1</v>
      </c>
      <c r="L45" t="b">
        <v>1</v>
      </c>
      <c r="M45" t="s">
        <v>19</v>
      </c>
    </row>
    <row r="46" spans="1:13" x14ac:dyDescent="0.2">
      <c r="A46">
        <v>330027</v>
      </c>
      <c r="B46" s="1" t="s">
        <v>83</v>
      </c>
      <c r="C46" s="1" t="s">
        <v>84</v>
      </c>
      <c r="D46" s="1" t="s">
        <v>46</v>
      </c>
      <c r="E46">
        <v>1442</v>
      </c>
      <c r="F46">
        <v>21192.18</v>
      </c>
      <c r="G46">
        <v>1.0907</v>
      </c>
      <c r="H46">
        <v>1</v>
      </c>
      <c r="I46">
        <v>1.23</v>
      </c>
      <c r="J46">
        <v>18.8</v>
      </c>
      <c r="K46" t="b">
        <v>1</v>
      </c>
      <c r="L46" t="b">
        <v>1</v>
      </c>
      <c r="M46" t="s">
        <v>19</v>
      </c>
    </row>
    <row r="47" spans="1:13" x14ac:dyDescent="0.2">
      <c r="A47">
        <v>330219</v>
      </c>
      <c r="B47" s="1" t="s">
        <v>85</v>
      </c>
      <c r="C47" s="1" t="s">
        <v>65</v>
      </c>
      <c r="D47" s="1" t="s">
        <v>34</v>
      </c>
      <c r="E47">
        <v>1263</v>
      </c>
      <c r="F47">
        <v>21155.3</v>
      </c>
      <c r="G47">
        <v>0.97570000000000001</v>
      </c>
      <c r="H47">
        <v>2</v>
      </c>
      <c r="I47">
        <v>2.09</v>
      </c>
      <c r="J47">
        <v>15</v>
      </c>
      <c r="K47" t="b">
        <v>1</v>
      </c>
      <c r="L47" t="b">
        <v>1</v>
      </c>
      <c r="M47" t="s">
        <v>16</v>
      </c>
    </row>
    <row r="48" spans="1:13" x14ac:dyDescent="0.2">
      <c r="A48">
        <v>330169</v>
      </c>
      <c r="B48" s="1" t="s">
        <v>86</v>
      </c>
      <c r="C48" s="1" t="s">
        <v>18</v>
      </c>
      <c r="D48" s="1" t="s">
        <v>15</v>
      </c>
      <c r="E48">
        <v>3089</v>
      </c>
      <c r="F48">
        <v>21084.65</v>
      </c>
      <c r="G48">
        <v>1.0604</v>
      </c>
      <c r="H48">
        <v>2</v>
      </c>
      <c r="I48">
        <v>0.97</v>
      </c>
      <c r="J48">
        <v>12.6</v>
      </c>
      <c r="K48" t="b">
        <v>1</v>
      </c>
      <c r="L48" t="b">
        <v>1</v>
      </c>
      <c r="M48" t="s">
        <v>19</v>
      </c>
    </row>
    <row r="49" spans="1:13" x14ac:dyDescent="0.2">
      <c r="A49">
        <v>330136</v>
      </c>
      <c r="B49" s="1" t="s">
        <v>87</v>
      </c>
      <c r="C49" s="1" t="s">
        <v>88</v>
      </c>
      <c r="D49" s="1" t="s">
        <v>34</v>
      </c>
      <c r="E49">
        <v>1567</v>
      </c>
      <c r="F49">
        <v>20799.919999999998</v>
      </c>
      <c r="G49">
        <v>0.94979999999999998</v>
      </c>
      <c r="H49">
        <v>3</v>
      </c>
      <c r="I49">
        <v>1.27</v>
      </c>
      <c r="J49">
        <v>18.7</v>
      </c>
      <c r="K49" t="b">
        <v>1</v>
      </c>
      <c r="L49" t="b">
        <v>1</v>
      </c>
      <c r="M49" t="s">
        <v>16</v>
      </c>
    </row>
    <row r="50" spans="1:13" x14ac:dyDescent="0.2">
      <c r="A50">
        <v>330182</v>
      </c>
      <c r="B50" s="1" t="s">
        <v>89</v>
      </c>
      <c r="C50" s="1" t="s">
        <v>90</v>
      </c>
      <c r="D50" s="1" t="s">
        <v>46</v>
      </c>
      <c r="E50">
        <v>10053</v>
      </c>
      <c r="F50">
        <v>20414.03</v>
      </c>
      <c r="G50">
        <v>0.94589999999999996</v>
      </c>
      <c r="H50">
        <v>4</v>
      </c>
      <c r="I50">
        <v>1.1000000000000001</v>
      </c>
      <c r="J50">
        <v>11.9</v>
      </c>
      <c r="K50" t="b">
        <v>1</v>
      </c>
      <c r="L50" t="b">
        <v>1</v>
      </c>
      <c r="M50" t="s">
        <v>16</v>
      </c>
    </row>
    <row r="51" spans="1:13" x14ac:dyDescent="0.2">
      <c r="A51">
        <v>330198</v>
      </c>
      <c r="B51" s="1" t="s">
        <v>91</v>
      </c>
      <c r="C51" s="1" t="s">
        <v>92</v>
      </c>
      <c r="D51" s="1" t="s">
        <v>46</v>
      </c>
      <c r="E51">
        <v>5144</v>
      </c>
      <c r="F51">
        <v>19505.28</v>
      </c>
      <c r="G51">
        <v>1.0804</v>
      </c>
      <c r="H51">
        <v>2</v>
      </c>
      <c r="I51">
        <v>0.85</v>
      </c>
      <c r="J51">
        <v>14.1</v>
      </c>
      <c r="K51" t="b">
        <v>1</v>
      </c>
      <c r="L51" t="b">
        <v>1</v>
      </c>
      <c r="M51" t="s">
        <v>19</v>
      </c>
    </row>
    <row r="52" spans="1:13" x14ac:dyDescent="0.2">
      <c r="A52">
        <v>330286</v>
      </c>
      <c r="B52" s="1" t="s">
        <v>93</v>
      </c>
      <c r="C52" s="1" t="s">
        <v>94</v>
      </c>
      <c r="D52" s="1" t="s">
        <v>46</v>
      </c>
      <c r="E52">
        <v>5930</v>
      </c>
      <c r="F52">
        <v>19015.73</v>
      </c>
      <c r="G52">
        <v>0.88880000000000003</v>
      </c>
      <c r="H52">
        <v>2</v>
      </c>
      <c r="I52">
        <v>1.43</v>
      </c>
      <c r="J52">
        <v>19.5</v>
      </c>
      <c r="K52" t="b">
        <v>1</v>
      </c>
      <c r="L52" t="b">
        <v>1</v>
      </c>
      <c r="M52" t="s">
        <v>16</v>
      </c>
    </row>
    <row r="53" spans="1:13" x14ac:dyDescent="0.2">
      <c r="A53">
        <v>330394</v>
      </c>
      <c r="B53" s="1" t="s">
        <v>95</v>
      </c>
      <c r="C53" s="1" t="s">
        <v>96</v>
      </c>
      <c r="D53" s="1" t="s">
        <v>34</v>
      </c>
      <c r="E53">
        <v>2408</v>
      </c>
      <c r="F53">
        <v>18822.03</v>
      </c>
      <c r="G53">
        <v>0.98429999999999995</v>
      </c>
      <c r="H53">
        <v>3</v>
      </c>
      <c r="I53">
        <v>1.58</v>
      </c>
      <c r="J53">
        <v>17.2</v>
      </c>
      <c r="K53" t="b">
        <v>1</v>
      </c>
      <c r="L53" t="b">
        <v>1</v>
      </c>
      <c r="M53" t="s">
        <v>16</v>
      </c>
    </row>
    <row r="54" spans="1:13" x14ac:dyDescent="0.2">
      <c r="A54">
        <v>330153</v>
      </c>
      <c r="B54" s="1" t="s">
        <v>97</v>
      </c>
      <c r="C54" s="1" t="s">
        <v>98</v>
      </c>
      <c r="D54" s="1" t="s">
        <v>34</v>
      </c>
      <c r="E54">
        <v>1588</v>
      </c>
      <c r="F54">
        <v>18428.37</v>
      </c>
      <c r="G54">
        <v>0.99760000000000004</v>
      </c>
      <c r="H54">
        <v>2</v>
      </c>
      <c r="I54">
        <v>1.37</v>
      </c>
      <c r="J54">
        <v>15.7</v>
      </c>
      <c r="K54" t="b">
        <v>1</v>
      </c>
      <c r="L54" t="b">
        <v>1</v>
      </c>
      <c r="M54" t="s">
        <v>16</v>
      </c>
    </row>
    <row r="55" spans="1:13" x14ac:dyDescent="0.2">
      <c r="A55">
        <v>330185</v>
      </c>
      <c r="B55" s="1" t="s">
        <v>99</v>
      </c>
      <c r="C55" s="1" t="s">
        <v>100</v>
      </c>
      <c r="D55" s="1" t="s">
        <v>46</v>
      </c>
      <c r="E55">
        <v>3485</v>
      </c>
      <c r="F55">
        <v>18182.509999999998</v>
      </c>
      <c r="G55">
        <v>0.95150000000000001</v>
      </c>
      <c r="H55">
        <v>4</v>
      </c>
      <c r="I55">
        <v>0.93</v>
      </c>
      <c r="J55">
        <v>9.8000000000000007</v>
      </c>
      <c r="K55" t="b">
        <v>1</v>
      </c>
      <c r="L55" t="b">
        <v>1</v>
      </c>
      <c r="M55" t="s">
        <v>16</v>
      </c>
    </row>
    <row r="56" spans="1:13" x14ac:dyDescent="0.2">
      <c r="A56">
        <v>330057</v>
      </c>
      <c r="B56" s="1" t="s">
        <v>101</v>
      </c>
      <c r="C56" s="1" t="s">
        <v>54</v>
      </c>
      <c r="D56" s="1" t="s">
        <v>34</v>
      </c>
      <c r="E56">
        <v>4645</v>
      </c>
      <c r="F56">
        <v>17784.21</v>
      </c>
      <c r="G56">
        <v>1.0664</v>
      </c>
      <c r="H56">
        <v>3</v>
      </c>
      <c r="I56">
        <v>1.2</v>
      </c>
      <c r="J56">
        <v>16</v>
      </c>
      <c r="K56" t="b">
        <v>1</v>
      </c>
      <c r="L56" t="b">
        <v>1</v>
      </c>
      <c r="M56" t="s">
        <v>19</v>
      </c>
    </row>
    <row r="57" spans="1:13" x14ac:dyDescent="0.2">
      <c r="A57">
        <v>330079</v>
      </c>
      <c r="B57" s="1" t="s">
        <v>102</v>
      </c>
      <c r="C57" s="1" t="s">
        <v>103</v>
      </c>
      <c r="D57" s="1" t="s">
        <v>34</v>
      </c>
      <c r="E57">
        <v>312</v>
      </c>
      <c r="F57">
        <v>17747.86</v>
      </c>
      <c r="G57">
        <v>0.89229999999999998</v>
      </c>
      <c r="H57">
        <v>5</v>
      </c>
      <c r="I57">
        <v>1.28</v>
      </c>
      <c r="J57">
        <v>17.8</v>
      </c>
      <c r="K57" t="b">
        <v>1</v>
      </c>
      <c r="L57" t="b">
        <v>0</v>
      </c>
      <c r="M57" t="s">
        <v>23</v>
      </c>
    </row>
    <row r="58" spans="1:13" x14ac:dyDescent="0.2">
      <c r="A58">
        <v>330304</v>
      </c>
      <c r="B58" s="1" t="s">
        <v>104</v>
      </c>
      <c r="C58" s="1" t="s">
        <v>105</v>
      </c>
      <c r="D58" s="1" t="s">
        <v>46</v>
      </c>
      <c r="E58">
        <v>6453</v>
      </c>
      <c r="F58">
        <v>17379.060000000001</v>
      </c>
      <c r="G58">
        <v>0.97099999999999997</v>
      </c>
      <c r="H58">
        <v>3</v>
      </c>
      <c r="I58">
        <v>0.77</v>
      </c>
      <c r="J58">
        <v>10.5</v>
      </c>
      <c r="K58" t="b">
        <v>1</v>
      </c>
      <c r="L58" t="b">
        <v>1</v>
      </c>
      <c r="M58" t="s">
        <v>16</v>
      </c>
    </row>
    <row r="59" spans="1:13" x14ac:dyDescent="0.2">
      <c r="A59">
        <v>330033</v>
      </c>
      <c r="B59" s="1" t="s">
        <v>106</v>
      </c>
      <c r="C59" s="1" t="s">
        <v>107</v>
      </c>
      <c r="D59" s="1" t="s">
        <v>34</v>
      </c>
      <c r="E59">
        <v>128</v>
      </c>
      <c r="F59">
        <v>17138.68</v>
      </c>
      <c r="G59">
        <v>0.97940000000000005</v>
      </c>
      <c r="H59">
        <v>4</v>
      </c>
      <c r="I59">
        <v>1.1599999999999999</v>
      </c>
      <c r="J59">
        <v>21.3</v>
      </c>
      <c r="K59" t="b">
        <v>0</v>
      </c>
      <c r="L59" t="b">
        <v>0</v>
      </c>
      <c r="M59" t="s">
        <v>23</v>
      </c>
    </row>
    <row r="60" spans="1:13" x14ac:dyDescent="0.2">
      <c r="A60">
        <v>330141</v>
      </c>
      <c r="B60" s="1" t="s">
        <v>108</v>
      </c>
      <c r="C60" s="1" t="s">
        <v>109</v>
      </c>
      <c r="D60" s="1" t="s">
        <v>46</v>
      </c>
      <c r="E60">
        <v>2996</v>
      </c>
      <c r="F60">
        <v>16788.59</v>
      </c>
      <c r="G60">
        <v>0.95130000000000003</v>
      </c>
      <c r="H60">
        <v>2</v>
      </c>
      <c r="I60">
        <v>0.87</v>
      </c>
      <c r="J60">
        <v>14.4</v>
      </c>
      <c r="K60" t="b">
        <v>1</v>
      </c>
      <c r="L60" t="b">
        <v>1</v>
      </c>
      <c r="M60" t="s">
        <v>16</v>
      </c>
    </row>
    <row r="61" spans="1:13" x14ac:dyDescent="0.2">
      <c r="A61">
        <v>330279</v>
      </c>
      <c r="B61" s="1" t="s">
        <v>110</v>
      </c>
      <c r="C61" s="1" t="s">
        <v>65</v>
      </c>
      <c r="D61" s="1" t="s">
        <v>34</v>
      </c>
      <c r="E61">
        <v>2029</v>
      </c>
      <c r="F61">
        <v>16675.759999999998</v>
      </c>
      <c r="G61">
        <v>1.0437000000000001</v>
      </c>
      <c r="H61">
        <v>3</v>
      </c>
      <c r="I61">
        <v>1.05</v>
      </c>
      <c r="J61">
        <v>17.8</v>
      </c>
      <c r="K61" t="b">
        <v>1</v>
      </c>
      <c r="L61" t="b">
        <v>1</v>
      </c>
      <c r="M61" t="s">
        <v>19</v>
      </c>
    </row>
    <row r="62" spans="1:13" x14ac:dyDescent="0.2">
      <c r="A62">
        <v>330078</v>
      </c>
      <c r="B62" s="1" t="s">
        <v>111</v>
      </c>
      <c r="C62" s="1" t="s">
        <v>65</v>
      </c>
      <c r="D62" s="1" t="s">
        <v>34</v>
      </c>
      <c r="E62">
        <v>441</v>
      </c>
      <c r="F62">
        <v>16665.849999999999</v>
      </c>
      <c r="G62">
        <v>1.0353000000000001</v>
      </c>
      <c r="H62">
        <v>3</v>
      </c>
      <c r="I62">
        <v>1.71</v>
      </c>
      <c r="J62">
        <v>12</v>
      </c>
      <c r="K62" t="b">
        <v>1</v>
      </c>
      <c r="L62" t="b">
        <v>0</v>
      </c>
      <c r="M62" t="s">
        <v>23</v>
      </c>
    </row>
    <row r="63" spans="1:13" x14ac:dyDescent="0.2">
      <c r="A63">
        <v>330157</v>
      </c>
      <c r="B63" s="1" t="s">
        <v>112</v>
      </c>
      <c r="C63" s="1" t="s">
        <v>113</v>
      </c>
      <c r="D63" s="1" t="s">
        <v>34</v>
      </c>
      <c r="E63">
        <v>807</v>
      </c>
      <c r="F63">
        <v>16429.990000000002</v>
      </c>
      <c r="G63">
        <v>1.0179</v>
      </c>
      <c r="H63">
        <v>3</v>
      </c>
      <c r="I63">
        <v>0.94</v>
      </c>
      <c r="J63">
        <v>17.399999999999999</v>
      </c>
      <c r="K63" t="b">
        <v>1</v>
      </c>
      <c r="L63" t="b">
        <v>1</v>
      </c>
      <c r="M63" t="s">
        <v>19</v>
      </c>
    </row>
    <row r="64" spans="1:13" x14ac:dyDescent="0.2">
      <c r="A64">
        <v>330126</v>
      </c>
      <c r="B64" s="1" t="s">
        <v>114</v>
      </c>
      <c r="C64" s="1" t="s">
        <v>115</v>
      </c>
      <c r="D64" s="1" t="s">
        <v>46</v>
      </c>
      <c r="E64">
        <v>5742</v>
      </c>
      <c r="F64">
        <v>16412.86</v>
      </c>
      <c r="G64">
        <v>1.0267999999999999</v>
      </c>
      <c r="H64">
        <v>3</v>
      </c>
      <c r="I64">
        <v>0.81</v>
      </c>
      <c r="J64">
        <v>12.8</v>
      </c>
      <c r="K64" t="b">
        <v>1</v>
      </c>
      <c r="L64" t="b">
        <v>1</v>
      </c>
      <c r="M64" t="s">
        <v>19</v>
      </c>
    </row>
    <row r="65" spans="1:13" x14ac:dyDescent="0.2">
      <c r="A65">
        <v>330090</v>
      </c>
      <c r="B65" s="1" t="s">
        <v>116</v>
      </c>
      <c r="C65" s="1" t="s">
        <v>117</v>
      </c>
      <c r="D65" s="1" t="s">
        <v>34</v>
      </c>
      <c r="E65">
        <v>803</v>
      </c>
      <c r="F65">
        <v>16056.66</v>
      </c>
      <c r="G65">
        <v>0.99229999999999996</v>
      </c>
      <c r="H65">
        <v>3</v>
      </c>
      <c r="I65">
        <v>2.2799999999999998</v>
      </c>
      <c r="J65">
        <v>17</v>
      </c>
      <c r="K65" t="b">
        <v>1</v>
      </c>
      <c r="L65" t="b">
        <v>1</v>
      </c>
      <c r="M65" t="s">
        <v>16</v>
      </c>
    </row>
    <row r="66" spans="1:13" x14ac:dyDescent="0.2">
      <c r="A66">
        <v>330250</v>
      </c>
      <c r="B66" s="1" t="s">
        <v>118</v>
      </c>
      <c r="C66" s="1" t="s">
        <v>119</v>
      </c>
      <c r="D66" s="1" t="s">
        <v>34</v>
      </c>
      <c r="E66">
        <v>1812</v>
      </c>
      <c r="F66">
        <v>15967.09</v>
      </c>
      <c r="G66">
        <v>1.0047999999999999</v>
      </c>
      <c r="H66">
        <v>3</v>
      </c>
      <c r="I66">
        <v>2.02</v>
      </c>
      <c r="J66">
        <v>14.5</v>
      </c>
      <c r="K66" t="b">
        <v>1</v>
      </c>
      <c r="L66" t="b">
        <v>1</v>
      </c>
      <c r="M66" t="s">
        <v>19</v>
      </c>
    </row>
    <row r="67" spans="1:13" x14ac:dyDescent="0.2">
      <c r="A67">
        <v>330261</v>
      </c>
      <c r="B67" s="1" t="s">
        <v>120</v>
      </c>
      <c r="C67" s="1" t="s">
        <v>121</v>
      </c>
      <c r="D67" s="1" t="s">
        <v>46</v>
      </c>
      <c r="E67">
        <v>1551</v>
      </c>
      <c r="F67">
        <v>15910.61</v>
      </c>
      <c r="G67">
        <v>0.93169999999999997</v>
      </c>
      <c r="H67">
        <v>3</v>
      </c>
      <c r="I67">
        <v>1.08</v>
      </c>
      <c r="J67">
        <v>17.600000000000001</v>
      </c>
      <c r="K67" t="b">
        <v>1</v>
      </c>
      <c r="L67" t="b">
        <v>1</v>
      </c>
      <c r="M67" t="s">
        <v>16</v>
      </c>
    </row>
    <row r="68" spans="1:13" x14ac:dyDescent="0.2">
      <c r="A68">
        <v>330151</v>
      </c>
      <c r="B68" s="1" t="s">
        <v>122</v>
      </c>
      <c r="C68" s="1" t="s">
        <v>123</v>
      </c>
      <c r="D68" s="1" t="s">
        <v>34</v>
      </c>
      <c r="E68">
        <v>129</v>
      </c>
      <c r="F68">
        <v>15908.67</v>
      </c>
      <c r="G68">
        <v>1.0311999999999999</v>
      </c>
      <c r="H68">
        <v>3</v>
      </c>
      <c r="I68">
        <v>0.97</v>
      </c>
      <c r="J68">
        <v>13.4</v>
      </c>
      <c r="K68" t="b">
        <v>1</v>
      </c>
      <c r="L68" t="b">
        <v>0</v>
      </c>
      <c r="M68" t="s">
        <v>23</v>
      </c>
    </row>
    <row r="69" spans="1:13" x14ac:dyDescent="0.2">
      <c r="A69">
        <v>330181</v>
      </c>
      <c r="B69" s="1" t="s">
        <v>124</v>
      </c>
      <c r="C69" s="1" t="s">
        <v>125</v>
      </c>
      <c r="D69" s="1" t="s">
        <v>46</v>
      </c>
      <c r="E69">
        <v>1284</v>
      </c>
      <c r="F69">
        <v>15691.2</v>
      </c>
      <c r="G69">
        <v>0.93969999999999998</v>
      </c>
      <c r="H69">
        <v>4</v>
      </c>
      <c r="I69">
        <v>0.85</v>
      </c>
      <c r="J69">
        <v>14.9</v>
      </c>
      <c r="K69" t="b">
        <v>1</v>
      </c>
      <c r="L69" t="b">
        <v>1</v>
      </c>
      <c r="M69" t="s">
        <v>16</v>
      </c>
    </row>
    <row r="70" spans="1:13" x14ac:dyDescent="0.2">
      <c r="A70">
        <v>330049</v>
      </c>
      <c r="B70" s="1" t="s">
        <v>126</v>
      </c>
      <c r="C70" s="1" t="s">
        <v>127</v>
      </c>
      <c r="D70" s="1" t="s">
        <v>34</v>
      </c>
      <c r="E70">
        <v>974</v>
      </c>
      <c r="F70">
        <v>15649.36</v>
      </c>
      <c r="G70">
        <v>0.98150000000000004</v>
      </c>
      <c r="H70">
        <v>4</v>
      </c>
      <c r="I70">
        <v>0.82</v>
      </c>
      <c r="J70">
        <v>12.6</v>
      </c>
      <c r="K70" t="b">
        <v>1</v>
      </c>
      <c r="L70" t="b">
        <v>1</v>
      </c>
      <c r="M70" t="s">
        <v>16</v>
      </c>
    </row>
    <row r="71" spans="1:13" x14ac:dyDescent="0.2">
      <c r="A71">
        <v>330158</v>
      </c>
      <c r="B71" s="1" t="s">
        <v>128</v>
      </c>
      <c r="C71" s="1" t="s">
        <v>129</v>
      </c>
      <c r="D71" s="1" t="s">
        <v>46</v>
      </c>
      <c r="E71">
        <v>3083</v>
      </c>
      <c r="F71">
        <v>15600.05</v>
      </c>
      <c r="G71">
        <v>1.0314000000000001</v>
      </c>
      <c r="H71">
        <v>2</v>
      </c>
      <c r="I71">
        <v>0.88</v>
      </c>
      <c r="J71">
        <v>16.3</v>
      </c>
      <c r="K71" t="b">
        <v>1</v>
      </c>
      <c r="L71" t="b">
        <v>1</v>
      </c>
      <c r="M71" t="s">
        <v>19</v>
      </c>
    </row>
    <row r="72" spans="1:13" x14ac:dyDescent="0.2">
      <c r="A72">
        <v>330115</v>
      </c>
      <c r="B72" s="1" t="s">
        <v>130</v>
      </c>
      <c r="C72" s="1" t="s">
        <v>131</v>
      </c>
      <c r="D72" s="1" t="s">
        <v>34</v>
      </c>
      <c r="E72">
        <v>287</v>
      </c>
      <c r="F72">
        <v>15565.6</v>
      </c>
      <c r="G72">
        <v>1.0550999999999999</v>
      </c>
      <c r="H72">
        <v>4</v>
      </c>
      <c r="I72">
        <v>0.93</v>
      </c>
      <c r="J72">
        <v>20.100000000000001</v>
      </c>
      <c r="K72" t="b">
        <v>1</v>
      </c>
      <c r="L72" t="b">
        <v>0</v>
      </c>
      <c r="M72" t="s">
        <v>23</v>
      </c>
    </row>
    <row r="73" spans="1:13" x14ac:dyDescent="0.2">
      <c r="A73">
        <v>330164</v>
      </c>
      <c r="B73" s="1" t="s">
        <v>132</v>
      </c>
      <c r="C73" s="1" t="s">
        <v>33</v>
      </c>
      <c r="D73" s="1" t="s">
        <v>34</v>
      </c>
      <c r="E73">
        <v>1723</v>
      </c>
      <c r="F73">
        <v>15550.47</v>
      </c>
      <c r="G73">
        <v>1.0322</v>
      </c>
      <c r="H73">
        <v>3</v>
      </c>
      <c r="I73">
        <v>0.97</v>
      </c>
      <c r="J73">
        <v>11.3</v>
      </c>
      <c r="K73" t="b">
        <v>1</v>
      </c>
      <c r="L73" t="b">
        <v>1</v>
      </c>
      <c r="M73" t="s">
        <v>19</v>
      </c>
    </row>
    <row r="74" spans="1:13" x14ac:dyDescent="0.2">
      <c r="A74">
        <v>330259</v>
      </c>
      <c r="B74" s="1" t="s">
        <v>133</v>
      </c>
      <c r="C74" s="1" t="s">
        <v>134</v>
      </c>
      <c r="D74" s="1" t="s">
        <v>46</v>
      </c>
      <c r="E74">
        <v>1663</v>
      </c>
      <c r="F74">
        <v>15274.29</v>
      </c>
      <c r="G74">
        <v>0.9466</v>
      </c>
      <c r="H74">
        <v>3</v>
      </c>
      <c r="I74">
        <v>0.86</v>
      </c>
      <c r="J74">
        <v>15.3</v>
      </c>
      <c r="K74" t="b">
        <v>1</v>
      </c>
      <c r="L74" t="b">
        <v>1</v>
      </c>
      <c r="M74" t="s">
        <v>16</v>
      </c>
    </row>
    <row r="75" spans="1:13" x14ac:dyDescent="0.2">
      <c r="A75">
        <v>330203</v>
      </c>
      <c r="B75" s="1" t="s">
        <v>135</v>
      </c>
      <c r="C75" s="1" t="s">
        <v>72</v>
      </c>
      <c r="D75" s="1" t="s">
        <v>34</v>
      </c>
      <c r="E75">
        <v>2619</v>
      </c>
      <c r="F75">
        <v>15222.04</v>
      </c>
      <c r="G75">
        <v>1.0531999999999999</v>
      </c>
      <c r="H75">
        <v>3</v>
      </c>
      <c r="I75">
        <v>1.17</v>
      </c>
      <c r="J75">
        <v>19.899999999999999</v>
      </c>
      <c r="K75" t="b">
        <v>1</v>
      </c>
      <c r="L75" t="b">
        <v>1</v>
      </c>
      <c r="M75" t="s">
        <v>19</v>
      </c>
    </row>
    <row r="76" spans="1:13" x14ac:dyDescent="0.2">
      <c r="A76">
        <v>330238</v>
      </c>
      <c r="B76" s="1" t="s">
        <v>136</v>
      </c>
      <c r="C76" s="1" t="s">
        <v>137</v>
      </c>
      <c r="D76" s="1" t="s">
        <v>34</v>
      </c>
      <c r="E76">
        <v>155</v>
      </c>
      <c r="F76">
        <v>15156.4</v>
      </c>
      <c r="G76">
        <v>0.98860000000000003</v>
      </c>
      <c r="H76">
        <v>3</v>
      </c>
      <c r="I76">
        <v>0.93</v>
      </c>
      <c r="J76">
        <v>18.3</v>
      </c>
      <c r="K76" t="b">
        <v>1</v>
      </c>
      <c r="L76" t="b">
        <v>0</v>
      </c>
      <c r="M76" t="s">
        <v>23</v>
      </c>
    </row>
    <row r="77" spans="1:13" x14ac:dyDescent="0.2">
      <c r="A77">
        <v>330331</v>
      </c>
      <c r="B77" s="1" t="s">
        <v>138</v>
      </c>
      <c r="C77" s="1" t="s">
        <v>139</v>
      </c>
      <c r="D77" s="1" t="s">
        <v>46</v>
      </c>
      <c r="E77">
        <v>3043</v>
      </c>
      <c r="F77">
        <v>15104.48</v>
      </c>
      <c r="G77">
        <v>0.99639999999999995</v>
      </c>
      <c r="H77">
        <v>3</v>
      </c>
      <c r="I77">
        <v>0.93</v>
      </c>
      <c r="J77">
        <v>13.4</v>
      </c>
      <c r="K77" t="b">
        <v>1</v>
      </c>
      <c r="L77" t="b">
        <v>1</v>
      </c>
      <c r="M77" t="s">
        <v>16</v>
      </c>
    </row>
    <row r="78" spans="1:13" x14ac:dyDescent="0.2">
      <c r="A78">
        <v>330208</v>
      </c>
      <c r="B78" s="1" t="s">
        <v>140</v>
      </c>
      <c r="C78" s="1" t="s">
        <v>68</v>
      </c>
      <c r="D78" s="1" t="s">
        <v>46</v>
      </c>
      <c r="E78">
        <v>1873</v>
      </c>
      <c r="F78">
        <v>14966.63</v>
      </c>
      <c r="G78">
        <v>1.0043</v>
      </c>
      <c r="H78">
        <v>3</v>
      </c>
      <c r="I78">
        <v>0.86</v>
      </c>
      <c r="J78">
        <v>15.3</v>
      </c>
      <c r="K78" t="b">
        <v>1</v>
      </c>
      <c r="L78" t="b">
        <v>1</v>
      </c>
      <c r="M78" t="s">
        <v>19</v>
      </c>
    </row>
    <row r="79" spans="1:13" x14ac:dyDescent="0.2">
      <c r="A79">
        <v>330096</v>
      </c>
      <c r="B79" s="1" t="s">
        <v>141</v>
      </c>
      <c r="C79" s="1" t="s">
        <v>142</v>
      </c>
      <c r="D79" s="1" t="s">
        <v>34</v>
      </c>
      <c r="E79">
        <v>221</v>
      </c>
      <c r="F79">
        <v>14941.64</v>
      </c>
      <c r="G79">
        <v>0.95379999999999998</v>
      </c>
      <c r="H79">
        <v>3</v>
      </c>
      <c r="I79">
        <v>1.1100000000000001</v>
      </c>
      <c r="J79">
        <v>12.9</v>
      </c>
      <c r="K79" t="b">
        <v>1</v>
      </c>
      <c r="L79" t="b">
        <v>0</v>
      </c>
      <c r="M79" t="s">
        <v>23</v>
      </c>
    </row>
    <row r="80" spans="1:13" x14ac:dyDescent="0.2">
      <c r="A80">
        <v>330104</v>
      </c>
      <c r="B80" s="1" t="s">
        <v>143</v>
      </c>
      <c r="C80" s="1" t="s">
        <v>144</v>
      </c>
      <c r="D80" s="1" t="s">
        <v>46</v>
      </c>
      <c r="E80">
        <v>2548</v>
      </c>
      <c r="F80">
        <v>14792.25</v>
      </c>
      <c r="G80">
        <v>1.0805</v>
      </c>
      <c r="H80">
        <v>2</v>
      </c>
      <c r="I80">
        <v>0.81</v>
      </c>
      <c r="J80">
        <v>15</v>
      </c>
      <c r="K80" t="b">
        <v>1</v>
      </c>
      <c r="L80" t="b">
        <v>1</v>
      </c>
      <c r="M80" t="s">
        <v>19</v>
      </c>
    </row>
    <row r="81" spans="1:13" x14ac:dyDescent="0.2">
      <c r="A81">
        <v>330307</v>
      </c>
      <c r="B81" s="1" t="s">
        <v>145</v>
      </c>
      <c r="C81" s="1" t="s">
        <v>146</v>
      </c>
      <c r="D81" s="1" t="s">
        <v>34</v>
      </c>
      <c r="E81">
        <v>717</v>
      </c>
      <c r="F81">
        <v>14791.79</v>
      </c>
      <c r="G81">
        <v>0.96209999999999996</v>
      </c>
      <c r="H81">
        <v>3</v>
      </c>
      <c r="I81">
        <v>0.96</v>
      </c>
      <c r="J81">
        <v>20.6</v>
      </c>
      <c r="K81" t="b">
        <v>1</v>
      </c>
      <c r="L81" t="b">
        <v>1</v>
      </c>
      <c r="M81" t="s">
        <v>16</v>
      </c>
    </row>
    <row r="82" spans="1:13" x14ac:dyDescent="0.2">
      <c r="A82">
        <v>330180</v>
      </c>
      <c r="B82" s="1" t="s">
        <v>147</v>
      </c>
      <c r="C82" s="1" t="s">
        <v>148</v>
      </c>
      <c r="D82" s="1" t="s">
        <v>34</v>
      </c>
      <c r="E82">
        <v>1446</v>
      </c>
      <c r="F82">
        <v>14670.3</v>
      </c>
      <c r="G82">
        <v>0.92630000000000001</v>
      </c>
      <c r="H82">
        <v>3</v>
      </c>
      <c r="I82">
        <v>0.94</v>
      </c>
      <c r="J82">
        <v>12.1</v>
      </c>
      <c r="K82" t="b">
        <v>1</v>
      </c>
      <c r="L82" t="b">
        <v>1</v>
      </c>
      <c r="M82" t="s">
        <v>16</v>
      </c>
    </row>
    <row r="83" spans="1:13" x14ac:dyDescent="0.2">
      <c r="A83">
        <v>330215</v>
      </c>
      <c r="B83" s="1" t="s">
        <v>149</v>
      </c>
      <c r="C83" s="1" t="s">
        <v>150</v>
      </c>
      <c r="D83" s="1" t="s">
        <v>34</v>
      </c>
      <c r="E83">
        <v>463</v>
      </c>
      <c r="F83">
        <v>14660.45</v>
      </c>
      <c r="G83">
        <v>1.0206999999999999</v>
      </c>
      <c r="H83">
        <v>2</v>
      </c>
      <c r="I83">
        <v>0.96</v>
      </c>
      <c r="J83">
        <v>19.8</v>
      </c>
      <c r="K83" t="b">
        <v>1</v>
      </c>
      <c r="L83" t="b">
        <v>0</v>
      </c>
      <c r="M83" t="s">
        <v>23</v>
      </c>
    </row>
    <row r="84" spans="1:13" x14ac:dyDescent="0.2">
      <c r="A84">
        <v>330045</v>
      </c>
      <c r="B84" s="1" t="s">
        <v>151</v>
      </c>
      <c r="C84" s="1" t="s">
        <v>152</v>
      </c>
      <c r="D84" s="1" t="s">
        <v>46</v>
      </c>
      <c r="E84">
        <v>5970</v>
      </c>
      <c r="F84">
        <v>14642.59</v>
      </c>
      <c r="G84">
        <v>0.97340000000000004</v>
      </c>
      <c r="H84">
        <v>4</v>
      </c>
      <c r="I84">
        <v>0.75</v>
      </c>
      <c r="J84">
        <v>11.4</v>
      </c>
      <c r="K84" t="b">
        <v>1</v>
      </c>
      <c r="L84" t="b">
        <v>1</v>
      </c>
      <c r="M84" t="s">
        <v>16</v>
      </c>
    </row>
    <row r="85" spans="1:13" x14ac:dyDescent="0.2">
      <c r="A85">
        <v>330086</v>
      </c>
      <c r="B85" s="1" t="s">
        <v>153</v>
      </c>
      <c r="C85" s="1" t="s">
        <v>154</v>
      </c>
      <c r="D85" s="1" t="s">
        <v>46</v>
      </c>
      <c r="E85">
        <v>107</v>
      </c>
      <c r="F85">
        <v>14479.8</v>
      </c>
      <c r="G85">
        <v>0.96899999999999997</v>
      </c>
      <c r="H85">
        <v>2</v>
      </c>
      <c r="I85">
        <v>0.97</v>
      </c>
      <c r="J85">
        <v>15.2</v>
      </c>
      <c r="K85" t="b">
        <v>0</v>
      </c>
      <c r="L85" t="b">
        <v>0</v>
      </c>
      <c r="M85" t="s">
        <v>23</v>
      </c>
    </row>
    <row r="86" spans="1:13" x14ac:dyDescent="0.2">
      <c r="A86">
        <v>330044</v>
      </c>
      <c r="B86" s="1" t="s">
        <v>155</v>
      </c>
      <c r="C86" s="1" t="s">
        <v>156</v>
      </c>
      <c r="D86" s="1" t="s">
        <v>34</v>
      </c>
      <c r="E86">
        <v>3533</v>
      </c>
      <c r="F86">
        <v>14475.32</v>
      </c>
      <c r="G86">
        <v>1.0137</v>
      </c>
      <c r="H86">
        <v>2</v>
      </c>
      <c r="I86">
        <v>1.5</v>
      </c>
      <c r="J86">
        <v>21.2</v>
      </c>
      <c r="K86" t="b">
        <v>1</v>
      </c>
      <c r="L86" t="b">
        <v>1</v>
      </c>
      <c r="M86" t="s">
        <v>19</v>
      </c>
    </row>
    <row r="87" spans="1:13" x14ac:dyDescent="0.2">
      <c r="A87">
        <v>330019</v>
      </c>
      <c r="B87" s="1" t="s">
        <v>157</v>
      </c>
      <c r="C87" s="1" t="s">
        <v>14</v>
      </c>
      <c r="D87" s="1" t="s">
        <v>15</v>
      </c>
      <c r="E87">
        <v>2226</v>
      </c>
      <c r="F87">
        <v>14384.17</v>
      </c>
      <c r="G87">
        <v>1.1778</v>
      </c>
      <c r="H87">
        <v>1</v>
      </c>
      <c r="I87">
        <v>1.07</v>
      </c>
      <c r="J87">
        <v>16.899999999999999</v>
      </c>
      <c r="K87" t="b">
        <v>1</v>
      </c>
      <c r="L87" t="b">
        <v>1</v>
      </c>
      <c r="M87" t="s">
        <v>19</v>
      </c>
    </row>
    <row r="88" spans="1:13" x14ac:dyDescent="0.2">
      <c r="A88">
        <v>330011</v>
      </c>
      <c r="B88" s="1" t="s">
        <v>158</v>
      </c>
      <c r="C88" s="1" t="s">
        <v>96</v>
      </c>
      <c r="D88" s="1" t="s">
        <v>34</v>
      </c>
      <c r="E88">
        <v>986</v>
      </c>
      <c r="F88">
        <v>14205.84</v>
      </c>
      <c r="G88">
        <v>1.0263</v>
      </c>
      <c r="H88">
        <v>2</v>
      </c>
      <c r="I88">
        <v>1.5</v>
      </c>
      <c r="J88">
        <v>13.1</v>
      </c>
      <c r="K88" t="b">
        <v>1</v>
      </c>
      <c r="L88" t="b">
        <v>1</v>
      </c>
      <c r="M88" t="s">
        <v>19</v>
      </c>
    </row>
    <row r="89" spans="1:13" x14ac:dyDescent="0.2">
      <c r="A89">
        <v>330162</v>
      </c>
      <c r="B89" s="1" t="s">
        <v>159</v>
      </c>
      <c r="C89" s="1" t="s">
        <v>160</v>
      </c>
      <c r="D89" s="1" t="s">
        <v>46</v>
      </c>
      <c r="E89">
        <v>1658</v>
      </c>
      <c r="F89">
        <v>14052.52</v>
      </c>
      <c r="G89">
        <v>1.0221</v>
      </c>
      <c r="H89">
        <v>4</v>
      </c>
      <c r="I89">
        <v>0.86</v>
      </c>
      <c r="J89">
        <v>14.5</v>
      </c>
      <c r="K89" t="b">
        <v>1</v>
      </c>
      <c r="L89" t="b">
        <v>1</v>
      </c>
      <c r="M89" t="s">
        <v>19</v>
      </c>
    </row>
    <row r="90" spans="1:13" x14ac:dyDescent="0.2">
      <c r="A90">
        <v>330102</v>
      </c>
      <c r="B90" s="1" t="s">
        <v>161</v>
      </c>
      <c r="C90" s="1" t="s">
        <v>162</v>
      </c>
      <c r="D90" s="1" t="s">
        <v>34</v>
      </c>
      <c r="E90">
        <v>570</v>
      </c>
      <c r="F90">
        <v>14028.54</v>
      </c>
      <c r="G90">
        <v>1.0288999999999999</v>
      </c>
      <c r="H90">
        <v>4</v>
      </c>
      <c r="I90">
        <v>0.95</v>
      </c>
      <c r="J90">
        <v>18.5</v>
      </c>
      <c r="K90" t="b">
        <v>1</v>
      </c>
      <c r="L90" t="b">
        <v>1</v>
      </c>
      <c r="M90" t="s">
        <v>19</v>
      </c>
    </row>
    <row r="91" spans="1:13" x14ac:dyDescent="0.2">
      <c r="A91">
        <v>330107</v>
      </c>
      <c r="B91" s="1" t="s">
        <v>163</v>
      </c>
      <c r="C91" s="1" t="s">
        <v>164</v>
      </c>
      <c r="D91" s="1" t="s">
        <v>46</v>
      </c>
      <c r="E91">
        <v>3478</v>
      </c>
      <c r="F91">
        <v>13948.19</v>
      </c>
      <c r="G91">
        <v>0.99299999999999999</v>
      </c>
      <c r="H91">
        <v>3</v>
      </c>
      <c r="I91">
        <v>1.02</v>
      </c>
      <c r="J91">
        <v>15.3</v>
      </c>
      <c r="K91" t="b">
        <v>1</v>
      </c>
      <c r="L91" t="b">
        <v>1</v>
      </c>
      <c r="M91" t="s">
        <v>16</v>
      </c>
    </row>
    <row r="92" spans="1:13" x14ac:dyDescent="0.2">
      <c r="A92">
        <v>330229</v>
      </c>
      <c r="B92" s="1" t="s">
        <v>165</v>
      </c>
      <c r="C92" s="1" t="s">
        <v>166</v>
      </c>
      <c r="D92" s="1" t="s">
        <v>34</v>
      </c>
      <c r="E92">
        <v>109</v>
      </c>
      <c r="F92">
        <v>13881.06</v>
      </c>
      <c r="G92">
        <v>0.996</v>
      </c>
      <c r="H92">
        <v>4</v>
      </c>
      <c r="I92">
        <v>0.97</v>
      </c>
      <c r="J92">
        <v>16.399999999999999</v>
      </c>
      <c r="K92" t="b">
        <v>1</v>
      </c>
      <c r="L92" t="b">
        <v>0</v>
      </c>
      <c r="M92" t="s">
        <v>23</v>
      </c>
    </row>
    <row r="93" spans="1:13" x14ac:dyDescent="0.2">
      <c r="A93">
        <v>330264</v>
      </c>
      <c r="B93" s="1" t="s">
        <v>167</v>
      </c>
      <c r="C93" s="1" t="s">
        <v>168</v>
      </c>
      <c r="D93" s="1" t="s">
        <v>34</v>
      </c>
      <c r="E93">
        <v>1579</v>
      </c>
      <c r="F93">
        <v>13845.99</v>
      </c>
      <c r="G93">
        <v>1.0398000000000001</v>
      </c>
      <c r="H93">
        <v>3</v>
      </c>
      <c r="I93">
        <v>1.1000000000000001</v>
      </c>
      <c r="J93">
        <v>17.899999999999999</v>
      </c>
      <c r="K93" t="b">
        <v>1</v>
      </c>
      <c r="L93" t="b">
        <v>1</v>
      </c>
      <c r="M93" t="s">
        <v>19</v>
      </c>
    </row>
    <row r="94" spans="1:13" x14ac:dyDescent="0.2">
      <c r="A94">
        <v>330267</v>
      </c>
      <c r="B94" s="1" t="s">
        <v>169</v>
      </c>
      <c r="C94" s="1" t="s">
        <v>170</v>
      </c>
      <c r="D94" s="1" t="s">
        <v>46</v>
      </c>
      <c r="E94">
        <v>2126</v>
      </c>
      <c r="F94">
        <v>13804.5</v>
      </c>
      <c r="G94">
        <v>0.93010000000000004</v>
      </c>
      <c r="H94">
        <v>4</v>
      </c>
      <c r="I94">
        <v>0.96</v>
      </c>
      <c r="J94">
        <v>14</v>
      </c>
      <c r="K94" t="b">
        <v>1</v>
      </c>
      <c r="L94" t="b">
        <v>1</v>
      </c>
      <c r="M94" t="s">
        <v>16</v>
      </c>
    </row>
    <row r="95" spans="1:13" x14ac:dyDescent="0.2">
      <c r="A95">
        <v>330246</v>
      </c>
      <c r="B95" s="1" t="s">
        <v>171</v>
      </c>
      <c r="C95" s="1" t="s">
        <v>100</v>
      </c>
      <c r="D95" s="1" t="s">
        <v>46</v>
      </c>
      <c r="E95">
        <v>1409</v>
      </c>
      <c r="F95">
        <v>13760.96</v>
      </c>
      <c r="G95">
        <v>0.90090000000000003</v>
      </c>
      <c r="H95">
        <v>3</v>
      </c>
      <c r="I95">
        <v>0.89</v>
      </c>
      <c r="J95">
        <v>12.3</v>
      </c>
      <c r="K95" t="b">
        <v>1</v>
      </c>
      <c r="L95" t="b">
        <v>1</v>
      </c>
      <c r="M95" t="s">
        <v>16</v>
      </c>
    </row>
    <row r="96" spans="1:13" x14ac:dyDescent="0.2">
      <c r="A96">
        <v>330226</v>
      </c>
      <c r="B96" s="1" t="s">
        <v>172</v>
      </c>
      <c r="C96" s="1" t="s">
        <v>33</v>
      </c>
      <c r="D96" s="1" t="s">
        <v>34</v>
      </c>
      <c r="E96">
        <v>1598</v>
      </c>
      <c r="F96">
        <v>13752.57</v>
      </c>
      <c r="G96">
        <v>1.1007</v>
      </c>
      <c r="H96">
        <v>2</v>
      </c>
      <c r="I96">
        <v>1.06</v>
      </c>
      <c r="J96">
        <v>15.9</v>
      </c>
      <c r="K96" t="b">
        <v>1</v>
      </c>
      <c r="L96" t="b">
        <v>1</v>
      </c>
      <c r="M96" t="s">
        <v>19</v>
      </c>
    </row>
    <row r="97" spans="1:13" x14ac:dyDescent="0.2">
      <c r="A97">
        <v>330386</v>
      </c>
      <c r="B97" s="1" t="s">
        <v>173</v>
      </c>
      <c r="C97" s="1" t="s">
        <v>174</v>
      </c>
      <c r="D97" s="1" t="s">
        <v>34</v>
      </c>
      <c r="E97">
        <v>577</v>
      </c>
      <c r="F97">
        <v>13697.53</v>
      </c>
      <c r="G97">
        <v>1.0092000000000001</v>
      </c>
      <c r="H97">
        <v>2</v>
      </c>
      <c r="I97">
        <v>0.92</v>
      </c>
      <c r="J97">
        <v>16.100000000000001</v>
      </c>
      <c r="K97" t="b">
        <v>1</v>
      </c>
      <c r="L97" t="b">
        <v>1</v>
      </c>
      <c r="M97" t="s">
        <v>19</v>
      </c>
    </row>
    <row r="98" spans="1:13" x14ac:dyDescent="0.2">
      <c r="A98">
        <v>330211</v>
      </c>
      <c r="B98" s="1" t="s">
        <v>175</v>
      </c>
      <c r="C98" s="1" t="s">
        <v>176</v>
      </c>
      <c r="D98" s="1" t="s">
        <v>34</v>
      </c>
      <c r="E98">
        <v>143</v>
      </c>
      <c r="F98">
        <v>13489.17</v>
      </c>
      <c r="L98" t="b">
        <v>0</v>
      </c>
      <c r="M98" t="s">
        <v>23</v>
      </c>
    </row>
    <row r="99" spans="1:13" x14ac:dyDescent="0.2">
      <c r="A99">
        <v>330065</v>
      </c>
      <c r="B99" s="1" t="s">
        <v>177</v>
      </c>
      <c r="C99" s="1" t="s">
        <v>178</v>
      </c>
      <c r="D99" s="1" t="s">
        <v>34</v>
      </c>
      <c r="E99">
        <v>126</v>
      </c>
      <c r="F99">
        <v>13418.55</v>
      </c>
      <c r="G99">
        <v>1.0071000000000001</v>
      </c>
      <c r="H99">
        <v>2</v>
      </c>
      <c r="I99">
        <v>1.24</v>
      </c>
      <c r="J99">
        <v>17.100000000000001</v>
      </c>
      <c r="K99" t="b">
        <v>1</v>
      </c>
      <c r="L99" t="b">
        <v>0</v>
      </c>
      <c r="M99" t="s">
        <v>23</v>
      </c>
    </row>
    <row r="100" spans="1:13" x14ac:dyDescent="0.2">
      <c r="A100">
        <v>330276</v>
      </c>
      <c r="B100" s="1" t="s">
        <v>179</v>
      </c>
      <c r="C100" s="1" t="s">
        <v>180</v>
      </c>
      <c r="D100" s="1" t="s">
        <v>34</v>
      </c>
      <c r="E100">
        <v>216</v>
      </c>
      <c r="F100">
        <v>13218.03</v>
      </c>
      <c r="G100">
        <v>0.98939999999999995</v>
      </c>
      <c r="H100">
        <v>3</v>
      </c>
      <c r="I100">
        <v>1.27</v>
      </c>
      <c r="J100">
        <v>19.8</v>
      </c>
      <c r="K100" t="b">
        <v>1</v>
      </c>
      <c r="L100" t="b">
        <v>0</v>
      </c>
      <c r="M100" t="s">
        <v>23</v>
      </c>
    </row>
    <row r="101" spans="1:13" x14ac:dyDescent="0.2">
      <c r="A101">
        <v>330222</v>
      </c>
      <c r="B101" s="1" t="s">
        <v>181</v>
      </c>
      <c r="C101" s="1" t="s">
        <v>182</v>
      </c>
      <c r="D101" s="1" t="s">
        <v>34</v>
      </c>
      <c r="E101">
        <v>1581</v>
      </c>
      <c r="F101">
        <v>13210.68</v>
      </c>
      <c r="G101">
        <v>0.99309999999999998</v>
      </c>
      <c r="H101">
        <v>4</v>
      </c>
      <c r="I101">
        <v>1.08</v>
      </c>
      <c r="J101">
        <v>13.5</v>
      </c>
      <c r="K101" t="b">
        <v>1</v>
      </c>
      <c r="L101" t="b">
        <v>1</v>
      </c>
      <c r="M101" t="s">
        <v>16</v>
      </c>
    </row>
    <row r="102" spans="1:13" x14ac:dyDescent="0.2">
      <c r="A102">
        <v>330085</v>
      </c>
      <c r="B102" s="1" t="s">
        <v>183</v>
      </c>
      <c r="C102" s="1" t="s">
        <v>184</v>
      </c>
      <c r="D102" s="1" t="s">
        <v>34</v>
      </c>
      <c r="E102">
        <v>406</v>
      </c>
      <c r="F102">
        <v>13173.35</v>
      </c>
      <c r="G102">
        <v>1.0159</v>
      </c>
      <c r="H102">
        <v>3</v>
      </c>
      <c r="I102">
        <v>0.94</v>
      </c>
      <c r="J102">
        <v>13.5</v>
      </c>
      <c r="K102" t="b">
        <v>1</v>
      </c>
      <c r="L102" t="b">
        <v>0</v>
      </c>
      <c r="M102" t="s">
        <v>23</v>
      </c>
    </row>
    <row r="103" spans="1:13" x14ac:dyDescent="0.2">
      <c r="A103">
        <v>330218</v>
      </c>
      <c r="B103" s="1" t="s">
        <v>185</v>
      </c>
      <c r="C103" s="1" t="s">
        <v>186</v>
      </c>
      <c r="D103" s="1" t="s">
        <v>34</v>
      </c>
      <c r="E103">
        <v>421</v>
      </c>
      <c r="F103">
        <v>12979.21</v>
      </c>
      <c r="G103">
        <v>1.0284</v>
      </c>
      <c r="H103">
        <v>4</v>
      </c>
      <c r="I103">
        <v>1.25</v>
      </c>
      <c r="J103">
        <v>20.7</v>
      </c>
      <c r="K103" t="b">
        <v>1</v>
      </c>
      <c r="L103" t="b">
        <v>0</v>
      </c>
      <c r="M103" t="s">
        <v>23</v>
      </c>
    </row>
    <row r="104" spans="1:13" x14ac:dyDescent="0.2">
      <c r="A104">
        <v>330073</v>
      </c>
      <c r="B104" s="1" t="s">
        <v>187</v>
      </c>
      <c r="C104" s="1" t="s">
        <v>188</v>
      </c>
      <c r="D104" s="1" t="s">
        <v>34</v>
      </c>
      <c r="E104">
        <v>379</v>
      </c>
      <c r="F104">
        <v>12902.41</v>
      </c>
      <c r="G104">
        <v>1.0490999999999999</v>
      </c>
      <c r="H104">
        <v>3</v>
      </c>
      <c r="I104">
        <v>0.9</v>
      </c>
      <c r="J104">
        <v>13.5</v>
      </c>
      <c r="K104" t="b">
        <v>1</v>
      </c>
      <c r="L104" t="b">
        <v>0</v>
      </c>
      <c r="M104" t="s">
        <v>23</v>
      </c>
    </row>
    <row r="105" spans="1:13" x14ac:dyDescent="0.2">
      <c r="A105">
        <v>330058</v>
      </c>
      <c r="B105" s="1" t="s">
        <v>189</v>
      </c>
      <c r="C105" s="1" t="s">
        <v>190</v>
      </c>
      <c r="D105" s="1" t="s">
        <v>34</v>
      </c>
      <c r="E105">
        <v>385</v>
      </c>
      <c r="F105">
        <v>12853.09</v>
      </c>
      <c r="G105">
        <v>1.0087999999999999</v>
      </c>
      <c r="H105">
        <v>2</v>
      </c>
      <c r="I105">
        <v>1.1499999999999999</v>
      </c>
      <c r="J105">
        <v>19.899999999999999</v>
      </c>
      <c r="K105" t="b">
        <v>1</v>
      </c>
      <c r="L105" t="b">
        <v>0</v>
      </c>
      <c r="M105" t="s">
        <v>23</v>
      </c>
    </row>
    <row r="106" spans="1:13" x14ac:dyDescent="0.2">
      <c r="A106">
        <v>330047</v>
      </c>
      <c r="B106" s="1" t="s">
        <v>191</v>
      </c>
      <c r="C106" s="1" t="s">
        <v>192</v>
      </c>
      <c r="D106" s="1" t="s">
        <v>34</v>
      </c>
      <c r="E106">
        <v>349</v>
      </c>
      <c r="F106">
        <v>12732.39</v>
      </c>
      <c r="G106">
        <v>1.0064</v>
      </c>
      <c r="H106">
        <v>3</v>
      </c>
      <c r="I106">
        <v>1.04</v>
      </c>
      <c r="J106">
        <v>13.3</v>
      </c>
      <c r="K106" t="b">
        <v>1</v>
      </c>
      <c r="L106" t="b">
        <v>0</v>
      </c>
      <c r="M106" t="s">
        <v>23</v>
      </c>
    </row>
    <row r="107" spans="1:13" x14ac:dyDescent="0.2">
      <c r="A107">
        <v>330094</v>
      </c>
      <c r="B107" s="1" t="s">
        <v>193</v>
      </c>
      <c r="C107" s="1" t="s">
        <v>194</v>
      </c>
      <c r="D107" s="1" t="s">
        <v>34</v>
      </c>
      <c r="E107">
        <v>592</v>
      </c>
      <c r="F107">
        <v>12730.01</v>
      </c>
      <c r="G107">
        <v>1.0064</v>
      </c>
      <c r="H107">
        <v>2</v>
      </c>
      <c r="I107">
        <v>2.17</v>
      </c>
      <c r="J107">
        <v>16.399999999999999</v>
      </c>
      <c r="K107" t="b">
        <v>1</v>
      </c>
      <c r="L107" t="b">
        <v>1</v>
      </c>
      <c r="M107" t="s">
        <v>19</v>
      </c>
    </row>
    <row r="108" spans="1:13" x14ac:dyDescent="0.2">
      <c r="A108">
        <v>330332</v>
      </c>
      <c r="B108" s="1" t="s">
        <v>195</v>
      </c>
      <c r="C108" s="1" t="s">
        <v>196</v>
      </c>
      <c r="D108" s="1" t="s">
        <v>46</v>
      </c>
      <c r="E108">
        <v>2317</v>
      </c>
      <c r="F108">
        <v>12629.84</v>
      </c>
      <c r="G108">
        <v>0.9879</v>
      </c>
      <c r="H108">
        <v>3</v>
      </c>
      <c r="I108">
        <v>1.1200000000000001</v>
      </c>
      <c r="J108">
        <v>18.3</v>
      </c>
      <c r="K108" t="b">
        <v>1</v>
      </c>
      <c r="L108" t="b">
        <v>1</v>
      </c>
      <c r="M108" t="s">
        <v>16</v>
      </c>
    </row>
    <row r="109" spans="1:13" x14ac:dyDescent="0.2">
      <c r="A109">
        <v>330188</v>
      </c>
      <c r="B109" s="1" t="s">
        <v>197</v>
      </c>
      <c r="C109" s="1" t="s">
        <v>198</v>
      </c>
      <c r="D109" s="1" t="s">
        <v>34</v>
      </c>
      <c r="E109">
        <v>364</v>
      </c>
      <c r="F109">
        <v>12551.84</v>
      </c>
      <c r="G109">
        <v>1.0543</v>
      </c>
      <c r="H109">
        <v>4</v>
      </c>
      <c r="I109">
        <v>0.98</v>
      </c>
      <c r="J109">
        <v>19.5</v>
      </c>
      <c r="K109" t="b">
        <v>1</v>
      </c>
      <c r="L109" t="b">
        <v>0</v>
      </c>
      <c r="M109" t="s">
        <v>23</v>
      </c>
    </row>
    <row r="110" spans="1:13" x14ac:dyDescent="0.2">
      <c r="A110">
        <v>330191</v>
      </c>
      <c r="B110" s="1" t="s">
        <v>199</v>
      </c>
      <c r="C110" s="1" t="s">
        <v>200</v>
      </c>
      <c r="D110" s="1" t="s">
        <v>34</v>
      </c>
      <c r="E110">
        <v>1782</v>
      </c>
      <c r="F110">
        <v>12508.69</v>
      </c>
      <c r="G110">
        <v>0.97340000000000004</v>
      </c>
      <c r="H110">
        <v>3</v>
      </c>
      <c r="I110">
        <v>1.38</v>
      </c>
      <c r="J110">
        <v>17.3</v>
      </c>
      <c r="K110" t="b">
        <v>1</v>
      </c>
      <c r="L110" t="b">
        <v>1</v>
      </c>
      <c r="M110" t="s">
        <v>16</v>
      </c>
    </row>
    <row r="111" spans="1:13" x14ac:dyDescent="0.2">
      <c r="A111">
        <v>330224</v>
      </c>
      <c r="B111" s="1" t="s">
        <v>201</v>
      </c>
      <c r="C111" s="1" t="s">
        <v>202</v>
      </c>
      <c r="D111" s="1" t="s">
        <v>34</v>
      </c>
      <c r="E111">
        <v>1683</v>
      </c>
      <c r="F111">
        <v>12480.19</v>
      </c>
      <c r="G111">
        <v>1.0405</v>
      </c>
      <c r="H111">
        <v>1</v>
      </c>
      <c r="I111">
        <v>1.1100000000000001</v>
      </c>
      <c r="J111">
        <v>16.8</v>
      </c>
      <c r="K111" t="b">
        <v>1</v>
      </c>
      <c r="L111" t="b">
        <v>1</v>
      </c>
      <c r="M111" t="s">
        <v>19</v>
      </c>
    </row>
    <row r="112" spans="1:13" x14ac:dyDescent="0.2">
      <c r="A112">
        <v>330273</v>
      </c>
      <c r="B112" s="1" t="s">
        <v>203</v>
      </c>
      <c r="C112" s="1" t="s">
        <v>204</v>
      </c>
      <c r="D112" s="1" t="s">
        <v>46</v>
      </c>
      <c r="E112">
        <v>732</v>
      </c>
      <c r="F112">
        <v>12407.13</v>
      </c>
      <c r="G112">
        <v>0.96789999999999998</v>
      </c>
      <c r="H112">
        <v>4</v>
      </c>
      <c r="I112">
        <v>0.88</v>
      </c>
      <c r="J112">
        <v>13</v>
      </c>
      <c r="K112" t="b">
        <v>1</v>
      </c>
      <c r="L112" t="b">
        <v>1</v>
      </c>
      <c r="M112" t="s">
        <v>16</v>
      </c>
    </row>
    <row r="113" spans="1:13" x14ac:dyDescent="0.2">
      <c r="A113">
        <v>330103</v>
      </c>
      <c r="B113" s="1" t="s">
        <v>205</v>
      </c>
      <c r="C113" s="1" t="s">
        <v>206</v>
      </c>
      <c r="D113" s="1" t="s">
        <v>34</v>
      </c>
      <c r="E113">
        <v>831</v>
      </c>
      <c r="F113">
        <v>12177.62</v>
      </c>
      <c r="G113">
        <v>1.0170999999999999</v>
      </c>
      <c r="H113">
        <v>2</v>
      </c>
      <c r="I113">
        <v>0.94</v>
      </c>
      <c r="J113">
        <v>23.2</v>
      </c>
      <c r="K113" t="b">
        <v>1</v>
      </c>
      <c r="L113" t="b">
        <v>1</v>
      </c>
      <c r="M113" t="s">
        <v>19</v>
      </c>
    </row>
    <row r="114" spans="1:13" x14ac:dyDescent="0.2">
      <c r="A114">
        <v>330197</v>
      </c>
      <c r="B114" s="1" t="s">
        <v>207</v>
      </c>
      <c r="C114" s="1" t="s">
        <v>208</v>
      </c>
      <c r="D114" s="1" t="s">
        <v>34</v>
      </c>
      <c r="E114">
        <v>658</v>
      </c>
      <c r="F114">
        <v>12035.48</v>
      </c>
      <c r="G114">
        <v>1.0234000000000001</v>
      </c>
      <c r="H114">
        <v>4</v>
      </c>
      <c r="I114">
        <v>1.18</v>
      </c>
      <c r="J114">
        <v>21.2</v>
      </c>
      <c r="K114" t="b">
        <v>1</v>
      </c>
      <c r="L114" t="b">
        <v>1</v>
      </c>
      <c r="M114" t="s">
        <v>19</v>
      </c>
    </row>
    <row r="115" spans="1:13" x14ac:dyDescent="0.2">
      <c r="A115">
        <v>330401</v>
      </c>
      <c r="B115" s="1" t="s">
        <v>209</v>
      </c>
      <c r="C115" s="1" t="s">
        <v>210</v>
      </c>
      <c r="D115" s="1" t="s">
        <v>46</v>
      </c>
      <c r="E115">
        <v>3290</v>
      </c>
      <c r="F115">
        <v>12006.31</v>
      </c>
      <c r="G115">
        <v>0.88980000000000004</v>
      </c>
      <c r="H115">
        <v>3</v>
      </c>
      <c r="I115">
        <v>0.7</v>
      </c>
      <c r="J115">
        <v>16</v>
      </c>
      <c r="K115" t="b">
        <v>1</v>
      </c>
      <c r="L115" t="b">
        <v>1</v>
      </c>
      <c r="M115" t="s">
        <v>16</v>
      </c>
    </row>
    <row r="116" spans="1:13" x14ac:dyDescent="0.2">
      <c r="A116">
        <v>330175</v>
      </c>
      <c r="B116" s="1" t="s">
        <v>211</v>
      </c>
      <c r="C116" s="1" t="s">
        <v>212</v>
      </c>
      <c r="D116" s="1" t="s">
        <v>34</v>
      </c>
      <c r="E116">
        <v>445</v>
      </c>
      <c r="F116">
        <v>11989.19</v>
      </c>
      <c r="G116">
        <v>1.026</v>
      </c>
      <c r="H116">
        <v>2</v>
      </c>
      <c r="I116">
        <v>0.92</v>
      </c>
      <c r="J116">
        <v>12.3</v>
      </c>
      <c r="K116" t="b">
        <v>1</v>
      </c>
      <c r="L116" t="b">
        <v>0</v>
      </c>
      <c r="M116" t="s">
        <v>23</v>
      </c>
    </row>
    <row r="117" spans="1:13" x14ac:dyDescent="0.2">
      <c r="A117">
        <v>330135</v>
      </c>
      <c r="B117" s="1" t="s">
        <v>213</v>
      </c>
      <c r="C117" s="1" t="s">
        <v>214</v>
      </c>
      <c r="D117" s="1" t="s">
        <v>34</v>
      </c>
      <c r="E117">
        <v>454</v>
      </c>
      <c r="F117">
        <v>11731.56</v>
      </c>
      <c r="G117">
        <v>1.032</v>
      </c>
      <c r="H117">
        <v>3</v>
      </c>
      <c r="I117">
        <v>0.93</v>
      </c>
      <c r="J117">
        <v>15.9</v>
      </c>
      <c r="K117" t="b">
        <v>1</v>
      </c>
      <c r="L117" t="b">
        <v>0</v>
      </c>
      <c r="M117" t="s">
        <v>23</v>
      </c>
    </row>
    <row r="118" spans="1:13" x14ac:dyDescent="0.2">
      <c r="A118">
        <v>330205</v>
      </c>
      <c r="B118" s="1" t="s">
        <v>215</v>
      </c>
      <c r="C118" s="1" t="s">
        <v>216</v>
      </c>
      <c r="D118" s="1" t="s">
        <v>46</v>
      </c>
      <c r="E118">
        <v>280</v>
      </c>
      <c r="F118">
        <v>11680.63</v>
      </c>
      <c r="G118">
        <v>0.93989999999999996</v>
      </c>
      <c r="H118">
        <v>3</v>
      </c>
      <c r="I118">
        <v>0.92</v>
      </c>
      <c r="J118">
        <v>16.3</v>
      </c>
      <c r="K118" t="b">
        <v>1</v>
      </c>
      <c r="L118" t="b">
        <v>0</v>
      </c>
      <c r="M118" t="s">
        <v>23</v>
      </c>
    </row>
    <row r="119" spans="1:13" x14ac:dyDescent="0.2">
      <c r="A119">
        <v>330074</v>
      </c>
      <c r="B119" s="1" t="s">
        <v>217</v>
      </c>
      <c r="C119" s="1" t="s">
        <v>218</v>
      </c>
      <c r="D119" s="1" t="s">
        <v>34</v>
      </c>
      <c r="E119">
        <v>393</v>
      </c>
      <c r="F119">
        <v>11466.64</v>
      </c>
      <c r="G119">
        <v>1.0713999999999999</v>
      </c>
      <c r="H119">
        <v>3</v>
      </c>
      <c r="I119">
        <v>0.98</v>
      </c>
      <c r="J119">
        <v>15.4</v>
      </c>
      <c r="K119" t="b">
        <v>1</v>
      </c>
      <c r="L119" t="b">
        <v>0</v>
      </c>
      <c r="M119" t="s">
        <v>23</v>
      </c>
    </row>
    <row r="120" spans="1:13" x14ac:dyDescent="0.2">
      <c r="A120">
        <v>330265</v>
      </c>
      <c r="B120" s="1" t="s">
        <v>219</v>
      </c>
      <c r="C120" s="1" t="s">
        <v>220</v>
      </c>
      <c r="D120" s="1" t="s">
        <v>34</v>
      </c>
      <c r="E120">
        <v>105</v>
      </c>
      <c r="F120">
        <v>11466.42</v>
      </c>
      <c r="G120">
        <v>1.0522</v>
      </c>
      <c r="H120">
        <v>3</v>
      </c>
      <c r="I120">
        <v>1.25</v>
      </c>
      <c r="J120">
        <v>15.6</v>
      </c>
      <c r="K120" t="b">
        <v>0</v>
      </c>
      <c r="L120" t="b">
        <v>0</v>
      </c>
      <c r="M120" t="s">
        <v>23</v>
      </c>
    </row>
    <row r="121" spans="1:13" x14ac:dyDescent="0.2">
      <c r="A121">
        <v>330235</v>
      </c>
      <c r="B121" s="1" t="s">
        <v>221</v>
      </c>
      <c r="C121" s="1" t="s">
        <v>222</v>
      </c>
      <c r="D121" s="1" t="s">
        <v>34</v>
      </c>
      <c r="E121">
        <v>834</v>
      </c>
      <c r="F121">
        <v>11367.19</v>
      </c>
      <c r="G121">
        <v>1.0783</v>
      </c>
      <c r="H121">
        <v>2</v>
      </c>
      <c r="I121">
        <v>1.05</v>
      </c>
      <c r="J121">
        <v>15.9</v>
      </c>
      <c r="K121" t="b">
        <v>1</v>
      </c>
      <c r="L121" t="b">
        <v>1</v>
      </c>
      <c r="M121" t="s">
        <v>19</v>
      </c>
    </row>
    <row r="122" spans="1:13" x14ac:dyDescent="0.2">
      <c r="A122">
        <v>330406</v>
      </c>
      <c r="B122" s="1" t="s">
        <v>223</v>
      </c>
      <c r="C122" s="1" t="s">
        <v>98</v>
      </c>
      <c r="D122" s="1" t="s">
        <v>34</v>
      </c>
      <c r="E122">
        <v>218</v>
      </c>
      <c r="F122">
        <v>11365.36</v>
      </c>
      <c r="L122" t="b">
        <v>0</v>
      </c>
      <c r="M122" t="s">
        <v>23</v>
      </c>
    </row>
    <row r="123" spans="1:13" x14ac:dyDescent="0.2">
      <c r="A123">
        <v>330277</v>
      </c>
      <c r="B123" s="1" t="s">
        <v>224</v>
      </c>
      <c r="C123" s="1" t="s">
        <v>225</v>
      </c>
      <c r="D123" s="1" t="s">
        <v>34</v>
      </c>
      <c r="E123">
        <v>601</v>
      </c>
      <c r="F123">
        <v>11351.03</v>
      </c>
      <c r="G123">
        <v>1.0287999999999999</v>
      </c>
      <c r="H123">
        <v>3</v>
      </c>
      <c r="I123">
        <v>1.1499999999999999</v>
      </c>
      <c r="J123">
        <v>18.7</v>
      </c>
      <c r="K123" t="b">
        <v>1</v>
      </c>
      <c r="L123" t="b">
        <v>1</v>
      </c>
      <c r="M123" t="s">
        <v>19</v>
      </c>
    </row>
    <row r="124" spans="1:13" x14ac:dyDescent="0.2">
      <c r="A124">
        <v>330239</v>
      </c>
      <c r="B124" s="1" t="s">
        <v>226</v>
      </c>
      <c r="C124" s="1" t="s">
        <v>227</v>
      </c>
      <c r="D124" s="1" t="s">
        <v>34</v>
      </c>
      <c r="E124">
        <v>571</v>
      </c>
      <c r="F124">
        <v>11224.06</v>
      </c>
      <c r="G124">
        <v>0.99490000000000001</v>
      </c>
      <c r="H124">
        <v>3</v>
      </c>
      <c r="I124">
        <v>0.89</v>
      </c>
      <c r="J124">
        <v>17.5</v>
      </c>
      <c r="K124" t="b">
        <v>1</v>
      </c>
      <c r="L124" t="b">
        <v>1</v>
      </c>
      <c r="M124" t="s">
        <v>16</v>
      </c>
    </row>
    <row r="125" spans="1:13" x14ac:dyDescent="0.2">
      <c r="A125">
        <v>330030</v>
      </c>
      <c r="B125" s="1" t="s">
        <v>228</v>
      </c>
      <c r="C125" s="1" t="s">
        <v>229</v>
      </c>
      <c r="D125" s="1" t="s">
        <v>34</v>
      </c>
      <c r="E125">
        <v>430</v>
      </c>
      <c r="F125">
        <v>10688.8</v>
      </c>
      <c r="G125">
        <v>1.0921000000000001</v>
      </c>
      <c r="H125">
        <v>3</v>
      </c>
      <c r="I125">
        <v>1.1200000000000001</v>
      </c>
      <c r="J125">
        <v>13.3</v>
      </c>
      <c r="K125" t="b">
        <v>1</v>
      </c>
      <c r="L125" t="b">
        <v>0</v>
      </c>
      <c r="M125" t="s">
        <v>23</v>
      </c>
    </row>
    <row r="126" spans="1:13" x14ac:dyDescent="0.2">
      <c r="A126">
        <v>330111</v>
      </c>
      <c r="B126" s="1" t="s">
        <v>230</v>
      </c>
      <c r="C126" s="1" t="s">
        <v>231</v>
      </c>
      <c r="D126" s="1" t="s">
        <v>34</v>
      </c>
      <c r="E126">
        <v>32</v>
      </c>
      <c r="F126">
        <v>10230.530000000001</v>
      </c>
      <c r="G126">
        <v>0.99470000000000003</v>
      </c>
      <c r="H126">
        <v>3</v>
      </c>
      <c r="I126">
        <v>0.99</v>
      </c>
      <c r="J126">
        <v>15.6</v>
      </c>
      <c r="K126" t="b">
        <v>0</v>
      </c>
      <c r="L126" t="b">
        <v>0</v>
      </c>
      <c r="M126" t="s">
        <v>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D314F-AED7-134E-9D44-2CE896A18227}">
  <dimension ref="A1:B11"/>
  <sheetViews>
    <sheetView tabSelected="1" workbookViewId="0">
      <selection activeCell="E10" sqref="E10"/>
    </sheetView>
  </sheetViews>
  <sheetFormatPr baseColWidth="10" defaultRowHeight="16" x14ac:dyDescent="0.2"/>
  <cols>
    <col min="1" max="2" width="49.1640625" bestFit="1" customWidth="1"/>
  </cols>
  <sheetData>
    <row r="1" spans="1:2" ht="22" x14ac:dyDescent="0.3">
      <c r="A1" s="7" t="s">
        <v>239</v>
      </c>
    </row>
    <row r="3" spans="1:2" x14ac:dyDescent="0.2">
      <c r="A3" t="s">
        <v>240</v>
      </c>
      <c r="B3" t="s">
        <v>241</v>
      </c>
    </row>
    <row r="4" spans="1:2" x14ac:dyDescent="0.2">
      <c r="B4" s="4"/>
    </row>
    <row r="5" spans="1:2" x14ac:dyDescent="0.2">
      <c r="A5" t="s">
        <v>242</v>
      </c>
      <c r="B5" t="s">
        <v>243</v>
      </c>
    </row>
    <row r="6" spans="1:2" x14ac:dyDescent="0.2">
      <c r="A6" t="s">
        <v>244</v>
      </c>
      <c r="B6" t="s">
        <v>245</v>
      </c>
    </row>
    <row r="7" spans="1:2" x14ac:dyDescent="0.2">
      <c r="A7" t="s">
        <v>246</v>
      </c>
      <c r="B7" t="s">
        <v>247</v>
      </c>
    </row>
    <row r="9" spans="1:2" x14ac:dyDescent="0.2">
      <c r="A9" s="8" t="s">
        <v>248</v>
      </c>
    </row>
    <row r="11" spans="1:2" x14ac:dyDescent="0.2">
      <c r="A11" t="s">
        <v>249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D63E6-8D60-1940-8D7D-5D40E40D72D7}">
  <dimension ref="A1:E7"/>
  <sheetViews>
    <sheetView workbookViewId="0">
      <selection activeCell="F29" sqref="F29"/>
    </sheetView>
  </sheetViews>
  <sheetFormatPr baseColWidth="10" defaultRowHeight="16" x14ac:dyDescent="0.2"/>
  <cols>
    <col min="1" max="1" width="16.83203125" bestFit="1" customWidth="1"/>
    <col min="2" max="2" width="11.83203125" bestFit="1" customWidth="1"/>
    <col min="3" max="3" width="15.33203125" bestFit="1" customWidth="1"/>
    <col min="4" max="4" width="7.83203125" bestFit="1" customWidth="1"/>
    <col min="5" max="5" width="9.1640625" bestFit="1" customWidth="1"/>
  </cols>
  <sheetData>
    <row r="1" spans="1:5" x14ac:dyDescent="0.2">
      <c r="A1" s="2" t="s">
        <v>11</v>
      </c>
      <c r="B1" t="s">
        <v>238</v>
      </c>
    </row>
    <row r="3" spans="1:5" x14ac:dyDescent="0.2">
      <c r="A3" s="2" t="s">
        <v>232</v>
      </c>
      <c r="B3" t="s">
        <v>234</v>
      </c>
      <c r="C3" t="s">
        <v>235</v>
      </c>
      <c r="D3" t="s">
        <v>236</v>
      </c>
      <c r="E3" t="s">
        <v>237</v>
      </c>
    </row>
    <row r="4" spans="1:5" x14ac:dyDescent="0.2">
      <c r="A4" s="3" t="s">
        <v>46</v>
      </c>
      <c r="B4" s="4">
        <v>17088.163703703704</v>
      </c>
      <c r="C4" s="5">
        <v>0.97830000000000006</v>
      </c>
      <c r="D4" s="6">
        <v>2.925925925925926</v>
      </c>
      <c r="E4" s="1">
        <v>27</v>
      </c>
    </row>
    <row r="5" spans="1:5" x14ac:dyDescent="0.2">
      <c r="A5" s="3" t="s">
        <v>15</v>
      </c>
      <c r="B5" s="4">
        <v>32393.16840000001</v>
      </c>
      <c r="C5" s="5">
        <v>1.0193479999999999</v>
      </c>
      <c r="D5" s="6">
        <v>2.16</v>
      </c>
      <c r="E5" s="1">
        <v>25</v>
      </c>
    </row>
    <row r="6" spans="1:5" x14ac:dyDescent="0.2">
      <c r="A6" s="3" t="s">
        <v>34</v>
      </c>
      <c r="B6" s="4">
        <v>17268.883421052629</v>
      </c>
      <c r="C6" s="5">
        <v>1.0116368421052631</v>
      </c>
      <c r="D6" s="6">
        <v>2.736842105263158</v>
      </c>
      <c r="E6" s="1">
        <v>38</v>
      </c>
    </row>
    <row r="7" spans="1:5" x14ac:dyDescent="0.2">
      <c r="A7" s="3" t="s">
        <v>233</v>
      </c>
      <c r="B7" s="4">
        <v>21415.857777777786</v>
      </c>
      <c r="C7" s="5">
        <v>1.0037777777777781</v>
      </c>
      <c r="D7" s="6">
        <v>2.6333333333333333</v>
      </c>
      <c r="E7" s="1">
        <v>90</v>
      </c>
    </row>
  </sheetData>
  <conditionalFormatting pivot="1" sqref="C4:C6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3:B6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9BF238-BB11-B34F-9AC9-F5AA56FE92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Summary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Patel</dc:creator>
  <cp:lastModifiedBy>Meet Patel</cp:lastModifiedBy>
  <dcterms:created xsi:type="dcterms:W3CDTF">2026-09-17T20:22:05Z</dcterms:created>
  <dcterms:modified xsi:type="dcterms:W3CDTF">2026-09-17T20:47:11Z</dcterms:modified>
</cp:coreProperties>
</file>